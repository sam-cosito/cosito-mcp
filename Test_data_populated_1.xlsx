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ZTsg6qDB2CDZCVqZGcWr6UcG5wrUvyrKWH4nKOgJVo="/>
    </ext>
  </extLst>
</workbook>
</file>

<file path=xl/sharedStrings.xml><?xml version="1.0" encoding="utf-8"?>
<sst xmlns="http://schemas.openxmlformats.org/spreadsheetml/2006/main" count="1665" uniqueCount="273">
  <si>
    <t>Transportation and Truck Condition</t>
  </si>
  <si>
    <t xml:space="preserve">Inspection Date: </t>
  </si>
  <si>
    <t>Shipper:</t>
  </si>
  <si>
    <t>Dole Fresh Fruit Company</t>
  </si>
  <si>
    <t xml:space="preserve">Brand:   </t>
  </si>
  <si>
    <t xml:space="preserve">Inspection Time:                    </t>
  </si>
  <si>
    <t xml:space="preserve">P.O. or Lot Number: </t>
  </si>
  <si>
    <t>PO0034638</t>
  </si>
  <si>
    <t>PO0034639</t>
  </si>
  <si>
    <t>PO0034640</t>
  </si>
  <si>
    <t>PO0034641</t>
  </si>
  <si>
    <t>PO0034642</t>
  </si>
  <si>
    <t>PO0034643</t>
  </si>
  <si>
    <t>PO0034644</t>
  </si>
  <si>
    <t>PO0034645</t>
  </si>
  <si>
    <t>PO0034646</t>
  </si>
  <si>
    <t>PO0034647</t>
  </si>
  <si>
    <t>PO0034648</t>
  </si>
  <si>
    <t>PO0034649</t>
  </si>
  <si>
    <t>PO0034650</t>
  </si>
  <si>
    <t>PO0034651</t>
  </si>
  <si>
    <t>PO0034652</t>
  </si>
  <si>
    <t>PO0034653</t>
  </si>
  <si>
    <t>PO0034654</t>
  </si>
  <si>
    <t>PO0034655</t>
  </si>
  <si>
    <t>PO0034656</t>
  </si>
  <si>
    <t>PO0034657</t>
  </si>
  <si>
    <t>PO0034658</t>
  </si>
  <si>
    <t>PO0034659</t>
  </si>
  <si>
    <t>PO0034660</t>
  </si>
  <si>
    <t>PO0034661</t>
  </si>
  <si>
    <t>PO0034662</t>
  </si>
  <si>
    <t>PO0034663</t>
  </si>
  <si>
    <t>PO0034664</t>
  </si>
  <si>
    <t>PO0034665</t>
  </si>
  <si>
    <t>PO0034666</t>
  </si>
  <si>
    <t>PO0034667</t>
  </si>
  <si>
    <t>PO0034668</t>
  </si>
  <si>
    <t>PO0034669</t>
  </si>
  <si>
    <t>PO0034670</t>
  </si>
  <si>
    <t>PO0034671</t>
  </si>
  <si>
    <t>PO0034672</t>
  </si>
  <si>
    <t>PO0034673</t>
  </si>
  <si>
    <t>PO0034674</t>
  </si>
  <si>
    <t>PO0034675</t>
  </si>
  <si>
    <t>PO0034676</t>
  </si>
  <si>
    <t>PO0034677</t>
  </si>
  <si>
    <t>PO0034678</t>
  </si>
  <si>
    <t>PO0034679</t>
  </si>
  <si>
    <t>PO0034680</t>
  </si>
  <si>
    <t>PO0034681</t>
  </si>
  <si>
    <t>PO0034682</t>
  </si>
  <si>
    <t>PO0034683</t>
  </si>
  <si>
    <t>PO0034684</t>
  </si>
  <si>
    <t>PO0034685</t>
  </si>
  <si>
    <t>PO0034686</t>
  </si>
  <si>
    <t>PO0034687</t>
  </si>
  <si>
    <t>PO0034688</t>
  </si>
  <si>
    <t>PO0034689</t>
  </si>
  <si>
    <t>PO0034690</t>
  </si>
  <si>
    <t>PO0034691</t>
  </si>
  <si>
    <t>PO0034692</t>
  </si>
  <si>
    <t>PO0034693</t>
  </si>
  <si>
    <t>PO0034694</t>
  </si>
  <si>
    <t>PO0034695</t>
  </si>
  <si>
    <t>PO0034696</t>
  </si>
  <si>
    <t>PO0034697</t>
  </si>
  <si>
    <t>PO0034698</t>
  </si>
  <si>
    <t>Inspector Name:</t>
  </si>
  <si>
    <t xml:space="preserve">Cinthya </t>
  </si>
  <si>
    <t>Cynthia</t>
  </si>
  <si>
    <t>Rudy</t>
  </si>
  <si>
    <t>David</t>
  </si>
  <si>
    <t>Cynthia and Rudy</t>
  </si>
  <si>
    <t>Cynthia and David</t>
  </si>
  <si>
    <t>Rudy and David</t>
  </si>
  <si>
    <t>Cynthia, Rudy and David</t>
  </si>
  <si>
    <t>Origin:</t>
  </si>
  <si>
    <t>Costa Rica</t>
  </si>
  <si>
    <t>Mexico</t>
  </si>
  <si>
    <t>Colombia</t>
  </si>
  <si>
    <t>Product Name:</t>
  </si>
  <si>
    <t>Pineapple Crownless</t>
  </si>
  <si>
    <t>Interior and Exterior Truck Inspection  |  Pass or Fail</t>
  </si>
  <si>
    <t>Clean Interior and Exterior,free of debris:</t>
  </si>
  <si>
    <t>Pass</t>
  </si>
  <si>
    <t xml:space="preserve">No unusual odors: </t>
  </si>
  <si>
    <t>Fail</t>
  </si>
  <si>
    <t>Proper security seals intact and recorded:</t>
  </si>
  <si>
    <t>Lock</t>
  </si>
  <si>
    <t>Unlocked</t>
  </si>
  <si>
    <t>No mold,dirt,or contamination:</t>
  </si>
  <si>
    <t>No visible pests or insects (rodents, insects):</t>
  </si>
  <si>
    <t>Proper documentation ( Bill of Landing, Customs Papers):</t>
  </si>
  <si>
    <t>Truck Temperature:</t>
  </si>
  <si>
    <t xml:space="preserve">              Comments: </t>
  </si>
  <si>
    <t>N/A</t>
  </si>
  <si>
    <t>BOL missing signature page; chasing with carrier.</t>
  </si>
  <si>
    <t>Shipment short 1 pallet vs PO.</t>
  </si>
  <si>
    <t>Seal found unlocked on arrival; driver unable to explain.</t>
  </si>
  <si>
    <t>Dirt residue on trailer floor; noted for shipper feedback.</t>
  </si>
  <si>
    <t>Product shows advanced ripening on lower portion.</t>
  </si>
  <si>
    <t>Seal found unlocked on arrival; photographed and noted.</t>
  </si>
  <si>
    <t>Product advanced ripening with browning on underside.</t>
  </si>
  <si>
    <t>Truck reefer failure - arrived 46.8F; product warm to touch.</t>
  </si>
  <si>
    <t>Shipment short 1 case; product over-ripe in lower portion.</t>
  </si>
  <si>
    <t>Product shows advanced ripening.</t>
  </si>
  <si>
    <t>Received 11 pallets vs. 10 ordered; adjusted receiving ticket.</t>
  </si>
  <si>
    <t>Brown decay spots observed across multiple pallets.</t>
  </si>
  <si>
    <t>Product shows over-ripe lower portion consistent across pallets.</t>
  </si>
  <si>
    <t>Seal unlocked AND truck temp 45.3F - escalated to manager.</t>
  </si>
  <si>
    <t>Strong fermented odor from trailer - documented.</t>
  </si>
  <si>
    <t>Shipment short 1 pallet.</t>
  </si>
  <si>
    <t>Advanced ripening throughout sample; soft to touch.</t>
  </si>
  <si>
    <t>Shipment short 1 case (~1% against PO).</t>
  </si>
  <si>
    <t>Advanced ripening visible across sample.</t>
  </si>
  <si>
    <t>Seal found broken; driver says it was intact at loading.</t>
  </si>
  <si>
    <t>Product visibly over-ripe, soft to touch.</t>
  </si>
  <si>
    <t>Truck reefer recorded 44.9F during final leg.</t>
  </si>
  <si>
    <t>Product displays advanced ripening and soft texture.</t>
  </si>
  <si>
    <t>1-case shortage confirmed with driver BOL.</t>
  </si>
  <si>
    <t>Packaging Inspection  | Pass or Fail</t>
  </si>
  <si>
    <t>Packaging Integrity: No dents, scratches, tears, or punctures
Seals and tapes intact with no signs of reapplication</t>
  </si>
  <si>
    <t>Labeling: Product name correct and legible, Lot/batch code legible, Expiry/best-before date present, Mandatory information (allergens, origin)</t>
  </si>
  <si>
    <t>Hygienic Conditions: No dirt, grease, mold, or pest residue on external surfaces, Internal containers clean and unobstructed</t>
  </si>
  <si>
    <t>Packaging Type :</t>
  </si>
  <si>
    <t>Cardboard</t>
  </si>
  <si>
    <t>Wood</t>
  </si>
  <si>
    <t>Sawdust residue on lower crates; escalated to receiving.</t>
  </si>
  <si>
    <t>~12% of cases crushed/punctured from stacking damage.</t>
  </si>
  <si>
    <t>~15% of cases show crushed corners from stacking.</t>
  </si>
  <si>
    <t>Labeling partially illegible on ~20% of cases.</t>
  </si>
  <si>
    <t xml:space="preserve">Quantity and Weight Inspection </t>
  </si>
  <si>
    <t>No. of Pallets</t>
  </si>
  <si>
    <t xml:space="preserve">Cases per Pallet </t>
  </si>
  <si>
    <t>Total Cases</t>
  </si>
  <si>
    <t>Requested Count</t>
  </si>
  <si>
    <t>Actual Count</t>
  </si>
  <si>
    <t>Variancy</t>
  </si>
  <si>
    <t>RECEIVING QUALITY INSPECTION ASSESSMENT</t>
  </si>
  <si>
    <t>Pack Date:</t>
  </si>
  <si>
    <t xml:space="preserve">Inspection Status: </t>
  </si>
  <si>
    <t>Reject</t>
  </si>
  <si>
    <t>Accept</t>
  </si>
  <si>
    <t>Further Review</t>
  </si>
  <si>
    <t>Temperature:</t>
  </si>
  <si>
    <t>46.8f</t>
  </si>
  <si>
    <t>40.9f</t>
  </si>
  <si>
    <t>41.6f</t>
  </si>
  <si>
    <t>41.1f</t>
  </si>
  <si>
    <t>40.4f</t>
  </si>
  <si>
    <t>42.0f</t>
  </si>
  <si>
    <t>40.6f</t>
  </si>
  <si>
    <t>41.3f</t>
  </si>
  <si>
    <t>41.0f</t>
  </si>
  <si>
    <t>41.4f</t>
  </si>
  <si>
    <t>40.2f</t>
  </si>
  <si>
    <t>41.2f</t>
  </si>
  <si>
    <t>42.8f</t>
  </si>
  <si>
    <t>40.8f</t>
  </si>
  <si>
    <t>41.9f</t>
  </si>
  <si>
    <t>40.5f</t>
  </si>
  <si>
    <t>43.2f</t>
  </si>
  <si>
    <t>41.8f</t>
  </si>
  <si>
    <t>47.9f</t>
  </si>
  <si>
    <t>40.7f</t>
  </si>
  <si>
    <t>42.7f</t>
  </si>
  <si>
    <t>41.7f</t>
  </si>
  <si>
    <t>42.5f</t>
  </si>
  <si>
    <t>41.5f</t>
  </si>
  <si>
    <t>46.0f</t>
  </si>
  <si>
    <t>43.5f</t>
  </si>
  <si>
    <t>43.0f</t>
  </si>
  <si>
    <t>42.6f</t>
  </si>
  <si>
    <t>43.4f</t>
  </si>
  <si>
    <t>45.5f</t>
  </si>
  <si>
    <t>Pressure:</t>
  </si>
  <si>
    <t>NA</t>
  </si>
  <si>
    <t>Brix:</t>
  </si>
  <si>
    <t>Cases Inspected:</t>
  </si>
  <si>
    <t>Unit Inspected:</t>
  </si>
  <si>
    <t xml:space="preserve"> DEFECTS QUANTITY</t>
  </si>
  <si>
    <t>Mechanical Damage</t>
  </si>
  <si>
    <t>Cracks</t>
  </si>
  <si>
    <t xml:space="preserve">Splits </t>
  </si>
  <si>
    <t xml:space="preserve">Bruising </t>
  </si>
  <si>
    <t xml:space="preserve">Blistering </t>
  </si>
  <si>
    <t xml:space="preserve">Pitting </t>
  </si>
  <si>
    <t xml:space="preserve">Shriveling </t>
  </si>
  <si>
    <t>Insect Damage</t>
  </si>
  <si>
    <t xml:space="preserve">Decay </t>
  </si>
  <si>
    <t>Mold</t>
  </si>
  <si>
    <t>Rusting</t>
  </si>
  <si>
    <t xml:space="preserve">Water Damage </t>
  </si>
  <si>
    <t xml:space="preserve">Scarring </t>
  </si>
  <si>
    <t>Color Issue</t>
  </si>
  <si>
    <t>Size Issue</t>
  </si>
  <si>
    <t>Stem Issue</t>
  </si>
  <si>
    <t>Tip Issue</t>
  </si>
  <si>
    <t xml:space="preserve">Other </t>
  </si>
  <si>
    <t>Defect Total Percentage</t>
  </si>
  <si>
    <t xml:space="preserve">Comments </t>
  </si>
  <si>
    <t>AI generated Comments</t>
  </si>
  <si>
    <t>Crownless pineapple does not present acceptable overall quality for its intended fresh-cut purpose. Inspection identified 3% mechanical damage, 8% bruising, and 6% decay. Brix: 11.2.
Additionally, the product shows non-uniform ripening. The upper portion of the fruit is at an acceptable maturity stage; however, the lower portion presents advanced ripening. This condition is critical for fresh-cut processing, as the advanced color development and maturity at the bottom portion exceed the optimal stage.
The use of this product in its current condition is not acceptable for fresh-cut purposes. Due to yield concerns, we estimate an average loss of approximately 30% per piece, primarily because the lower portion is overripe and cannot be utilized. In addition, the presence of brown decay spots further limits usability. This portion of the product cannot be used for the final finished product and must be considered shrink/waste.
Furthermore, 6% of the inspected product was found with decay, which further impacts overall usable yield and shelf life. Product is not acceptable for Processing use and have to be rejected.</t>
  </si>
  <si>
    <t>Clean receipt. Pineapple meets fresh-cut spec. Brix 12.3, defect load 1.1%. Product approved for processing. Minor superficial defects only.</t>
  </si>
  <si>
    <t>Wooden crate shipment, clean condition. Pineapple acceptable for fresh-cut. Brix 11.9. Defects observed: bruising and minor mechanical damage (3.7% total). Minor yield loss expected.</t>
  </si>
  <si>
    <t>Documentation incomplete - hold for QA. QA further review required due to incomplete bill of lading. Brix 12.1, defect load 4.0% (~4% mechanical, bruising, and size). Verify with shipper before release.</t>
  </si>
  <si>
    <t>Pineapple meets fresh-cut spec. Brix 12.6, defect load 1.0%. Product approved for processing. Pristine lot.</t>
  </si>
  <si>
    <t>Crate hygiene issue - hold pending QA. QA further review required due to wood-crate hygiene failure. Brix 11.7, defect load 4.3% (~4% bruising, mechanical, and scarring). Verify with shipper before release.</t>
  </si>
  <si>
    <t>Pineapple acceptable for fresh-cut. Brix 12.4. Defects observed: ~1% each of mechanical, bruising, and size (2.3% total). Minor yield loss expected.</t>
  </si>
  <si>
    <t>Pineapple meets fresh-cut spec. Brix 12.0, defect load 2.0%. Product approved for processing. Minor scarring within tolerance.</t>
  </si>
  <si>
    <t>Pineapple meets fresh-cut spec. Brix 12.5, defect load 1.5%. Product approved for processing. Very clean lot.</t>
  </si>
  <si>
    <t>10% pallet shortage on receipt. QA further review required due to a 10% pallet shortage against the PO. Brix 11.6, defect load 3.6% (~3.5% bruising and mechanical). Verify with shipper before release.</t>
  </si>
  <si>
    <t>Unlocked seal - escalate for chain-of-custody review. QA further review required due to seal found unlocked on arrival. Brix 12.7, defect load 1.4% (~1% mechanical and ~1% bruising). Verify with shipper before release.</t>
  </si>
  <si>
    <t>Trailer cleanliness flagged - escalated. QA further review required due to trailer hygiene failure. Brix 11.8, defect load 3.8% (~1.5% mechanical, ~1.5% bruising, &lt;1% scarring). Verify with shipper before release.</t>
  </si>
  <si>
    <t>Pineapple acceptable for fresh-cut. Brix 11.9. Defects observed: ~1% each of mechanical, bruising, and size (2.7% total). Minor yield loss expected.</t>
  </si>
  <si>
    <t>Pineapple meets fresh-cut spec. Brix 12.1, defect load 2.3%. Product approved for processing. Small-volume lot, clean.</t>
  </si>
  <si>
    <t>Rejected - defect load exceeds threshold. Product rejected. Brix 10.7. Defect load 15.0% (~2% mechanical, ~5% bruising, ~4% decay, ~3.5% color issues) exceeds acceptance threshold. Not suitable for fresh-cut processing.</t>
  </si>
  <si>
    <t>Packaging integrity failure elevated mechanical damage. QA further review required due to packaging integrity failure from transit stacking. Brix 12.4, defect load 5.8% (~3.6% mechanical and ~2.3% bruising). Verify with shipper before release.</t>
  </si>
  <si>
    <t>Large receipt - inspection doubled sample size. Pineapple acceptable for fresh-cut. Brix 12.3. Defects observed: 2% bruising, ~1% mechanical, ~1% size (4.0% total). Minor yield loss expected.</t>
  </si>
  <si>
    <t>Unlocked seal - chain of custody review required. QA further review required due to seal found unlocked on arrival. Brix 11.8, defect load 2.7% (~1% each of bruising, mechanical, scarring). Verify with shipper before release.</t>
  </si>
  <si>
    <t>Pineapple meets fresh-cut spec. Brix 12.5, defect load 1.3%. Product approved for processing. Clean lot.</t>
  </si>
  <si>
    <t>Rejected - decay dominant. Product rejected. Brix 10.4. Defect load 18.6% (~8% decay, ~4% mold, ~3.5% bruising, ~3% color issues) exceeds acceptance threshold. Not suitable for fresh-cut processing.</t>
  </si>
  <si>
    <t>Pineapple acceptable for fresh-cut. Brix 12.2. Defects observed: ~1.5% bruising, ~1% mechanical, minor size (2.7% total). Minor yield loss expected.</t>
  </si>
  <si>
    <t>Borderline defect load - segregate affected units. QA further review required. Brix 11.3. Defects: ~4.4% bruising, ~2.7% color, ~1.6% mechanical, ~1% stem (9.9% total) approach rejection threshold. Segregate affected units before release.</t>
  </si>
  <si>
    <t>Pineapple meets fresh-cut spec. Brix 12.4, defect load 1.4%. Product approved for processing. Routine clean receipt.</t>
  </si>
  <si>
    <t>Multi-factor rejection: reefer failure + heavy defects. Product rejected - multiple failures. Brix 10.6, defect load 18.8% (~8% decay, ~4.4% mold, ~3.6% bruising, ~3% color), plus cold-chain failure (46.8F) and visible condensation on trailer walls. Combined issues make product unsuitable.</t>
  </si>
  <si>
    <t>Pineapple meets fresh-cut spec. Brix 12.6, defect load 2.0%. Product approved for processing. Standard clean lot.</t>
  </si>
  <si>
    <t>Packaging damage elevated mechanical damage rate. QA further review required due to packaging integrity failure (crushed cases). Brix 11.9, defect load 6.7% (~4% mechanical and ~2.7% bruising). Verify with shipper before release.</t>
  </si>
  <si>
    <t>Pineapple meets fresh-cut spec. Brix 12.3, defect load 2.1%. Product approved for processing. Clean Saturday receipt.</t>
  </si>
  <si>
    <t>Large shipment - expanded inspection sample. Pineapple acceptable for fresh-cut. Brix 12.5. Defects observed: ~1.5% bruising, ~1.2% mechanical, &lt;1% scarring and size (4.1% total). Minor yield loss expected.</t>
  </si>
  <si>
    <t>Rejected - decay + color beyond threshold; 2% case shortage noted. Product rejected. Brix 10.6. Defect load 16.7% (~7.7% decay, ~4.6% color, ~3.1% bruising, ~1.3% mechanical) exceeds acceptance threshold. Not suitable for fresh-cut processing.</t>
  </si>
  <si>
    <t>Color non-uniformity - full team review. QA further review required. Brix 11.2. Defects: ~5% color, ~3% bruising, ~1.8% stem, ~1.2% mechanical (10.9% total) approach rejection threshold. Segregate affected units before release.</t>
  </si>
  <si>
    <t>Pineapple meets fresh-cut spec. Brix 12.6, defect load 1.6%. Product approved for processing. Clean arrival.</t>
  </si>
  <si>
    <t>Borderline - use promptly. Pineapple accepted with note. Brix 11.4. Defect load 7.1% (~2.9% bruising, ~1.9% mechanical, ~1.4% color, ~1% scarring) near upper tolerance. Prioritize in production schedule.</t>
  </si>
  <si>
    <t>Rejected - decay + color beyond tolerance. Product rejected. Brix 10.8. Defect load 17.5% (~7.7% decay, ~4.4% bruising, ~3.3% color, ~2.2% mechanical) exceeds acceptance threshold. Not suitable for fresh-cut processing.</t>
  </si>
  <si>
    <t>Pineapple acceptable for fresh-cut. Brix 12.4. Defects observed: ~1.5% bruising, ~1.3% mechanical, &lt;1% size (3.4% total). Minor yield loss expected.</t>
  </si>
  <si>
    <t>Oversized load - 30 pallets, full inspection sample. Pineapple acceptable for fresh-cut. Brix 12.5. Defects observed: ~1.7% bruising, ~1.4% mechanical, &lt;1% scarring and size (4.6% total). Minor yield loss expected.</t>
  </si>
  <si>
    <t>Multi-defect lot - segregate before release. QA further review required. Brix 11.2. Defects: ~5.1% bruising, ~2.6% color, ~2.1% mechanical, ~1.3% stem (11.0% total) approach rejection threshold. Segregate affected units before release.</t>
  </si>
  <si>
    <t>Over-shipped 1 pallet - accept with adjustment. Pineapple acceptable for fresh-cut. Brix 12.2. Defects observed: ~1% mechanical, ~1% bruising (2.3% total). Minor yield loss expected. Over-ship noted on receiving ticket.</t>
  </si>
  <si>
    <t>Rejected - heavy decay across sample. Product rejected. Brix 10.5. Defect load 18.1% (~8.8% decay, ~4.6% bruising, ~2.9% color, ~1.7% mechanical) exceeds acceptance threshold. Not suitable for fresh-cut processing.</t>
  </si>
  <si>
    <t>Pineapple acceptable for fresh-cut. Brix 12.0. Defects observed: ~2.2% bruising and ~1.1% mechanical (3.3% total). Minor yield loss expected.</t>
  </si>
  <si>
    <t>Rejected - over-ripe lot, high decay. Product rejected. Brix 10.5. Defect load 17.4% (~9% decay, ~4.1% color, ~3% bruising, ~1.3% mechanical) exceeds acceptance threshold. Not suitable for fresh-cut processing.</t>
  </si>
  <si>
    <t>Pineapple meets fresh-cut spec. Brix 12.6, defect load 2.4%. Product approved for processing. Clean lot, early morning receipt.</t>
  </si>
  <si>
    <t>Pineapple meets fresh-cut spec. Brix 12.1, defect load 3.2%. Product approved for processing. Small lot, acceptable.</t>
  </si>
  <si>
    <t>Seal unlocked + temp excursion - hold for QA decision. Cold chain excursion during transport (45.3F). Brix 11.8. Defect load limited (3.8%: ~2% bruising, ~1% mechanical, ~1% color). Requires QA sign-off; monitor for accelerated deterioration. Seal integrity also compromised.</t>
  </si>
  <si>
    <t>Pineapple meets fresh-cut spec. Brix 12.4, defect load 2.8%. Product approved for processing. Clean afternoon receipt.</t>
  </si>
  <si>
    <t>Rejected - odor, labeling, and defect failures combined. Product rejected - multiple failures. Brix 10.6, defect load 18.5% (~7.5% decay, ~4.2% mold, ~3% bruising, ~2.4% color, ~1.5% insect damage), plus trailer odor and labeling compliance failure. Combined issues make product unsuitable.</t>
  </si>
  <si>
    <t>Pineapple acceptable for fresh-cut. Brix 12.3. Defects observed: ~1.2% each of bruising and mechanical, &lt;1% size (2.7% total). Minor yield loss expected.</t>
  </si>
  <si>
    <t>10% pallet shortage - verify with shipper. QA further review required due to a 10% pallet shortage. Brix 11.7, defect load 3.6% (~2% bruising and ~1.4% mechanical). Verify with shipper before release.</t>
  </si>
  <si>
    <t>Pineapple meets fresh-cut spec. Brix 12.5, defect load 1.6%. Product approved for processing. Clean receipt.</t>
  </si>
  <si>
    <t>Very large lot - elevated but not reject-level defects. QA further review required. Brix 11.3. Defects: ~3.8% bruising, ~2.2% mechanical, ~1.8% color, ~1.1% scarring, &lt;1% size (9.8% total) approach rejection threshold. Segregate affected units before release.</t>
  </si>
  <si>
    <t>Rejected - over-ripe product with mold. Product rejected. Brix 10.6. Defect load 18.1% (~8.4% decay, ~4.5% color, ~3.2% bruising, ~1.9% mold) exceeds acceptance threshold. Not suitable for fresh-cut processing.</t>
  </si>
  <si>
    <t>Small 1% case shortage. Pineapple acceptable for fresh-cut. Brix 12.2. Defects observed: ~1.8% bruising, ~1% mechanical, &lt;1% size (3.4% total). Minor yield loss expected.</t>
  </si>
  <si>
    <t>Pineapple meets fresh-cut spec. Brix 12.6, defect load 2.4%. Product approved for processing. Clean lot.</t>
  </si>
  <si>
    <t>Rejected - decay + advanced ripening. Product rejected. Brix 10.7. Defect load 16.4% (~7.8% decay, ~4% color, ~3.3% bruising, ~1.3% mechanical) exceeds acceptance threshold. Not suitable for fresh-cut processing.</t>
  </si>
  <si>
    <t>Unlocked seal - chain-of-custody review required. QA further review required due to seal found broken/unlocked on arrival. Brix 12.5, defect load 2.3% (~1.2% mechanical and ~1.1% bruising). Verify with shipper before release.</t>
  </si>
  <si>
    <t>Borderline defects - QA to decide. QA further review required. Brix 11.1. Defects: ~4.8% bruising, ~2.7% color, ~1.8% mechanical, ~1.2% tip (10.4% total) approach rejection threshold. Segregate affected units before release.</t>
  </si>
  <si>
    <t>Pineapple acceptable for fresh-cut. Brix 12.4. Defects observed: ~1.3% each of bruising and mechanical, &lt;1% scarring (3.3% total). Minor yield loss expected.</t>
  </si>
  <si>
    <t>Rejected - heavy decay + mold. Product rejected. Brix 10.3. Defect load 23.2% (~11.4% decay, ~5.4% mold, ~3.6% bruising, ~2.9% color) exceeds acceptance threshold. Not suitable for fresh-cut processing.</t>
  </si>
  <si>
    <t>Pineapple meets fresh-cut spec. Brix 12.6, defect load 1.7%. Product approved for processing. Saturday clean receipt.</t>
  </si>
  <si>
    <t>Temperature excursion - QA sign-off required. Cold chain excursion during transport (44.9F). Brix 11.9. Defect load limited (4.4%: ~2.6% bruising, ~1% mechanical, &lt;1% scarring). Requires QA sign-off; monitor for accelerated deterioration.</t>
  </si>
  <si>
    <t>Rejected - heavy decay and over-ripeness. Product rejected. Brix 10.7. Defect load 16.6% (~8.5% decay, ~3.7% color, ~3.1% bruising, ~1.4% mechanical) exceeds acceptance threshold. Not suitable for fresh-cut processing.</t>
  </si>
  <si>
    <t>2% case shortage recorded. Pineapple acceptable for fresh-cut. Brix 12.1. Defects observed: ~1.9% bruising, ~1.2% mechanical, &lt;1% size (3.8% total). Minor yield loss expected. Minor case shortage noted.</t>
  </si>
  <si>
    <t>QA/QC Further Review Authorization</t>
  </si>
  <si>
    <t>Final Verification Pass ( YES / NO)</t>
  </si>
  <si>
    <t>YES</t>
  </si>
  <si>
    <t xml:space="preserve">Name: </t>
  </si>
  <si>
    <t>Christian Suarez</t>
  </si>
  <si>
    <t>Title:</t>
  </si>
  <si>
    <t>Quality Assurance Manager</t>
  </si>
  <si>
    <t xml:space="preserve">Signature:  </t>
  </si>
  <si>
    <t>C.S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</si>
</sst>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
  </numFmts>
  <fonts count="7">
    <font>
      <sz val="12.0"/>
      <color theme="1"/>
      <name val="Aptos Narrow"/>
      <scheme val="minor"/>
    </font>
    <font>
      <sz val="12.0"/>
      <color theme="1"/>
      <name val="Arial"/>
    </font>
    <font>
      <sz val="12.0"/>
      <color rgb="FF000000"/>
      <name val="Arial"/>
    </font>
    <font>
      <u/>
      <sz val="12.0"/>
      <color theme="1"/>
      <name val="Arial"/>
    </font>
    <font>
      <b/>
      <sz val="12.0"/>
      <color theme="1"/>
      <name val="Arial"/>
    </font>
    <font>
      <b/>
      <sz val="12.0"/>
      <color rgb="FFFF0000"/>
      <name val="Arial"/>
    </font>
    <font>
      <sz val="16.0"/>
      <color theme="1"/>
      <name val="Times New Roman"/>
    </font>
  </fonts>
  <fills count="7">
    <fill>
      <patternFill patternType="none"/>
    </fill>
    <fill>
      <patternFill patternType="lightGray"/>
    </fill>
    <fill>
      <patternFill patternType="solid">
        <fgColor rgb="FFD8D8D8"/>
        <bgColor rgb="FFD8D8D8"/>
      </patternFill>
    </fill>
    <fill>
      <patternFill patternType="solid">
        <fgColor rgb="FF83CAEB"/>
        <bgColor rgb="FF83CAEB"/>
      </patternFill>
    </fill>
    <fill>
      <patternFill patternType="solid">
        <fgColor rgb="FFFFC000"/>
        <bgColor rgb="FFFFC000"/>
      </patternFill>
    </fill>
    <fill>
      <patternFill patternType="solid">
        <fgColor theme="0"/>
        <bgColor theme="0"/>
      </patternFill>
    </fill>
    <fill>
      <patternFill patternType="solid">
        <fgColor rgb="FFF2F2F2"/>
        <bgColor rgb="FFF2F2F2"/>
      </patternFill>
    </fill>
  </fills>
  <borders count="3">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2" fillId="0" fontId="1" numFmtId="0" xfId="0" applyAlignment="1" applyBorder="1" applyFont="1">
      <alignment horizontal="left" shrinkToFit="0" vertical="top" wrapText="1"/>
    </xf>
    <xf borderId="2" fillId="0" fontId="1" numFmtId="164" xfId="0" applyAlignment="1" applyBorder="1" applyFont="1" applyNumberFormat="1">
      <alignment horizontal="left" shrinkToFit="0" vertical="top" wrapText="1"/>
    </xf>
    <xf borderId="2" fillId="0" fontId="1" numFmtId="0" xfId="0" applyAlignment="1" applyBorder="1" applyFont="1">
      <alignment horizontal="left" vertical="top"/>
    </xf>
    <xf borderId="2" fillId="3" fontId="1" numFmtId="0" xfId="0" applyAlignment="1" applyBorder="1" applyFill="1" applyFont="1">
      <alignment horizontal="left" shrinkToFit="0" vertical="top" wrapText="1"/>
    </xf>
    <xf borderId="2" fillId="0" fontId="1" numFmtId="20" xfId="0" applyAlignment="1" applyBorder="1" applyFont="1" applyNumberFormat="1">
      <alignment horizontal="left" vertical="top"/>
    </xf>
    <xf borderId="2" fillId="3" fontId="1" numFmtId="0" xfId="0" applyAlignment="1" applyBorder="1" applyFont="1">
      <alignment horizontal="left" vertical="top"/>
    </xf>
    <xf borderId="2" fillId="3" fontId="1" numFmtId="0" xfId="0" applyAlignment="1" applyBorder="1" applyFont="1">
      <alignment vertical="top"/>
    </xf>
    <xf borderId="2" fillId="3" fontId="1" numFmtId="0" xfId="0" applyAlignment="1" applyBorder="1" applyFont="1">
      <alignment horizontal="left" shrinkToFit="0" vertical="center" wrapText="1"/>
    </xf>
    <xf borderId="2" fillId="0" fontId="1" numFmtId="0" xfId="0" applyAlignment="1" applyBorder="1" applyFont="1">
      <alignment horizontal="center" shrinkToFit="0" vertical="center" wrapText="1"/>
    </xf>
    <xf borderId="2" fillId="0" fontId="1" numFmtId="0" xfId="0" applyAlignment="1" applyBorder="1" applyFont="1">
      <alignment horizontal="center" vertical="center"/>
    </xf>
    <xf borderId="2" fillId="0" fontId="2" numFmtId="0" xfId="0" applyAlignment="1" applyBorder="1" applyFont="1">
      <alignment horizontal="center" shrinkToFit="0" vertical="center" wrapText="1"/>
    </xf>
    <xf borderId="2" fillId="0" fontId="1" numFmtId="0" xfId="0" applyAlignment="1" applyBorder="1" applyFont="1">
      <alignment horizontal="center" shrinkToFit="0" vertical="top" wrapText="1"/>
    </xf>
    <xf borderId="2" fillId="0" fontId="3" numFmtId="0" xfId="0" applyAlignment="1" applyBorder="1" applyFont="1">
      <alignment horizontal="center" vertical="center"/>
    </xf>
    <xf borderId="2" fillId="4" fontId="1" numFmtId="10" xfId="0" applyAlignment="1" applyBorder="1" applyFill="1" applyFont="1" applyNumberFormat="1">
      <alignment horizontal="center" vertical="center"/>
    </xf>
    <xf borderId="2" fillId="0" fontId="1" numFmtId="0" xfId="0" applyAlignment="1" applyBorder="1" applyFont="1">
      <alignment horizontal="center"/>
    </xf>
    <xf borderId="1" fillId="2" fontId="4" numFmtId="0" xfId="0" applyAlignment="1" applyBorder="1" applyFont="1">
      <alignment horizontal="left" vertical="top"/>
    </xf>
    <xf borderId="2" fillId="0" fontId="1" numFmtId="164" xfId="0" applyAlignment="1" applyBorder="1" applyFont="1" applyNumberFormat="1">
      <alignment horizontal="center"/>
    </xf>
    <xf borderId="2" fillId="5" fontId="5" numFmtId="1" xfId="0" applyAlignment="1" applyBorder="1" applyFill="1" applyFont="1" applyNumberFormat="1">
      <alignment horizontal="center"/>
    </xf>
    <xf borderId="2" fillId="0" fontId="1" numFmtId="1" xfId="0" applyAlignment="1" applyBorder="1" applyFont="1" applyNumberFormat="1">
      <alignment horizontal="center"/>
    </xf>
    <xf borderId="2" fillId="0" fontId="1" numFmtId="165" xfId="0" applyAlignment="1" applyBorder="1" applyFont="1" applyNumberFormat="1">
      <alignment horizontal="center"/>
    </xf>
    <xf borderId="2" fillId="5" fontId="1" numFmtId="0" xfId="0" applyAlignment="1" applyBorder="1" applyFont="1">
      <alignment horizontal="center" vertical="center"/>
    </xf>
    <xf borderId="2" fillId="5" fontId="1" numFmtId="1" xfId="0" applyAlignment="1" applyBorder="1" applyFont="1" applyNumberFormat="1">
      <alignment horizontal="center" vertical="center"/>
    </xf>
    <xf borderId="2" fillId="5" fontId="1" numFmtId="1" xfId="0" applyAlignment="1" applyBorder="1" applyFont="1" applyNumberFormat="1">
      <alignment horizontal="center" shrinkToFit="0" vertical="center" wrapText="1"/>
    </xf>
    <xf borderId="1" fillId="6" fontId="4" numFmtId="0" xfId="0" applyAlignment="1" applyBorder="1" applyFill="1" applyFont="1">
      <alignment horizontal="left" vertical="center"/>
    </xf>
    <xf borderId="2" fillId="4" fontId="1" numFmtId="0" xfId="0" applyAlignment="1" applyBorder="1" applyFont="1">
      <alignment horizontal="center" shrinkToFit="0" vertical="center" wrapText="1"/>
    </xf>
    <xf borderId="2" fillId="0" fontId="6" numFmtId="0" xfId="0" applyAlignment="1" applyBorder="1" applyFont="1">
      <alignment vertical="center"/>
    </xf>
    <xf borderId="2" fillId="0" fontId="6" numFmtId="0" xfId="0" applyAlignment="1" applyBorder="1" applyFont="1">
      <alignment horizontal="center" vertical="center"/>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9.67"/>
    <col customWidth="1" min="2" max="2" width="45.44"/>
    <col customWidth="1" min="3" max="62" width="28.78"/>
  </cols>
  <sheetData>
    <row r="1" ht="15.7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ht="16.5" customHeight="1">
      <c r="A2" s="2" t="s">
        <v>1</v>
      </c>
      <c r="B2" s="3">
        <v>46078.0</v>
      </c>
      <c r="C2" s="3">
        <v>46078.0</v>
      </c>
      <c r="D2" s="3">
        <v>46078.0</v>
      </c>
      <c r="E2" s="3">
        <v>46079.0</v>
      </c>
      <c r="F2" s="3">
        <v>46080.0</v>
      </c>
      <c r="G2" s="3">
        <v>46080.0</v>
      </c>
      <c r="H2" s="3">
        <v>46081.0</v>
      </c>
      <c r="I2" s="3">
        <v>46083.0</v>
      </c>
      <c r="J2" s="3">
        <v>46084.0</v>
      </c>
      <c r="K2" s="3">
        <v>46084.0</v>
      </c>
      <c r="L2" s="3">
        <v>46085.0</v>
      </c>
      <c r="M2" s="3">
        <v>46086.0</v>
      </c>
      <c r="N2" s="3">
        <v>46088.0</v>
      </c>
      <c r="O2" s="3">
        <v>46090.0</v>
      </c>
      <c r="P2" s="3">
        <v>46091.0</v>
      </c>
      <c r="Q2" s="3">
        <v>46091.0</v>
      </c>
      <c r="R2" s="3">
        <v>46092.0</v>
      </c>
      <c r="S2" s="3">
        <v>46094.0</v>
      </c>
      <c r="T2" s="3">
        <v>46095.0</v>
      </c>
      <c r="U2" s="3">
        <v>46097.0</v>
      </c>
      <c r="V2" s="3">
        <v>46098.0</v>
      </c>
      <c r="W2" s="3">
        <v>46098.0</v>
      </c>
      <c r="X2" s="3">
        <v>46099.0</v>
      </c>
      <c r="Y2" s="3">
        <v>46100.0</v>
      </c>
      <c r="Z2" s="3">
        <v>46100.0</v>
      </c>
      <c r="AA2" s="3">
        <v>46101.0</v>
      </c>
      <c r="AB2" s="3">
        <v>46102.0</v>
      </c>
      <c r="AC2" s="3">
        <v>46105.0</v>
      </c>
      <c r="AD2" s="3">
        <v>46106.0</v>
      </c>
      <c r="AE2" s="3">
        <v>46106.0</v>
      </c>
      <c r="AF2" s="3">
        <v>46107.0</v>
      </c>
      <c r="AG2" s="3">
        <v>46108.0</v>
      </c>
      <c r="AH2" s="3">
        <v>46111.0</v>
      </c>
      <c r="AI2" s="3">
        <v>46112.0</v>
      </c>
      <c r="AJ2" s="3">
        <v>46112.0</v>
      </c>
      <c r="AK2" s="3">
        <v>46114.0</v>
      </c>
      <c r="AL2" s="3">
        <v>46114.0</v>
      </c>
      <c r="AM2" s="3">
        <v>46115.0</v>
      </c>
      <c r="AN2" s="3">
        <v>46118.0</v>
      </c>
      <c r="AO2" s="3">
        <v>46119.0</v>
      </c>
      <c r="AP2" s="3">
        <v>46120.0</v>
      </c>
      <c r="AQ2" s="3">
        <v>46120.0</v>
      </c>
      <c r="AR2" s="3">
        <v>46121.0</v>
      </c>
      <c r="AS2" s="3">
        <v>46121.0</v>
      </c>
      <c r="AT2" s="3">
        <v>46122.0</v>
      </c>
      <c r="AU2" s="3">
        <v>46122.0</v>
      </c>
      <c r="AV2" s="3">
        <v>46125.0</v>
      </c>
      <c r="AW2" s="3">
        <v>46126.0</v>
      </c>
      <c r="AX2" s="3">
        <v>46126.0</v>
      </c>
      <c r="AY2" s="3">
        <v>46126.0</v>
      </c>
      <c r="AZ2" s="3">
        <v>46127.0</v>
      </c>
      <c r="BA2" s="3">
        <v>46127.0</v>
      </c>
      <c r="BB2" s="3">
        <v>46128.0</v>
      </c>
      <c r="BC2" s="3">
        <v>46128.0</v>
      </c>
      <c r="BD2" s="3">
        <v>46129.0</v>
      </c>
      <c r="BE2" s="3">
        <v>46129.0</v>
      </c>
      <c r="BF2" s="3">
        <v>46129.0</v>
      </c>
      <c r="BG2" s="3">
        <v>46130.0</v>
      </c>
      <c r="BH2" s="3">
        <v>46130.0</v>
      </c>
      <c r="BI2" s="3">
        <v>46131.0</v>
      </c>
      <c r="BJ2" s="3">
        <v>46131.0</v>
      </c>
    </row>
    <row r="3" ht="16.5" customHeight="1">
      <c r="A3" s="4" t="s">
        <v>2</v>
      </c>
      <c r="B3" s="5" t="s">
        <v>3</v>
      </c>
      <c r="C3" s="5" t="s">
        <v>3</v>
      </c>
      <c r="D3" s="5" t="s">
        <v>3</v>
      </c>
      <c r="E3" s="5" t="s">
        <v>3</v>
      </c>
      <c r="F3" s="5" t="s">
        <v>3</v>
      </c>
      <c r="G3" s="5" t="s">
        <v>3</v>
      </c>
      <c r="H3" s="5" t="s">
        <v>3</v>
      </c>
      <c r="I3" s="5" t="s">
        <v>3</v>
      </c>
      <c r="J3" s="5" t="s">
        <v>3</v>
      </c>
      <c r="K3" s="5" t="s">
        <v>3</v>
      </c>
      <c r="L3" s="5" t="s">
        <v>3</v>
      </c>
      <c r="M3" s="5" t="s">
        <v>3</v>
      </c>
      <c r="N3" s="5" t="s">
        <v>3</v>
      </c>
      <c r="O3" s="5" t="s">
        <v>3</v>
      </c>
      <c r="P3" s="5" t="s">
        <v>3</v>
      </c>
      <c r="Q3" s="5" t="s">
        <v>3</v>
      </c>
      <c r="R3" s="5" t="s">
        <v>3</v>
      </c>
      <c r="S3" s="5" t="s">
        <v>3</v>
      </c>
      <c r="T3" s="5" t="s">
        <v>3</v>
      </c>
      <c r="U3" s="5" t="s">
        <v>3</v>
      </c>
      <c r="V3" s="5" t="s">
        <v>3</v>
      </c>
      <c r="W3" s="5" t="s">
        <v>3</v>
      </c>
      <c r="X3" s="5" t="s">
        <v>3</v>
      </c>
      <c r="Y3" s="5" t="s">
        <v>3</v>
      </c>
      <c r="Z3" s="5" t="s">
        <v>3</v>
      </c>
      <c r="AA3" s="5" t="s">
        <v>3</v>
      </c>
      <c r="AB3" s="5" t="s">
        <v>3</v>
      </c>
      <c r="AC3" s="5" t="s">
        <v>3</v>
      </c>
      <c r="AD3" s="5" t="s">
        <v>3</v>
      </c>
      <c r="AE3" s="5" t="s">
        <v>3</v>
      </c>
      <c r="AF3" s="5" t="s">
        <v>3</v>
      </c>
      <c r="AG3" s="5" t="s">
        <v>3</v>
      </c>
      <c r="AH3" s="5" t="s">
        <v>3</v>
      </c>
      <c r="AI3" s="5" t="s">
        <v>3</v>
      </c>
      <c r="AJ3" s="5" t="s">
        <v>3</v>
      </c>
      <c r="AK3" s="5" t="s">
        <v>3</v>
      </c>
      <c r="AL3" s="5" t="s">
        <v>3</v>
      </c>
      <c r="AM3" s="5" t="s">
        <v>3</v>
      </c>
      <c r="AN3" s="5" t="s">
        <v>3</v>
      </c>
      <c r="AO3" s="5" t="s">
        <v>3</v>
      </c>
      <c r="AP3" s="5" t="s">
        <v>3</v>
      </c>
      <c r="AQ3" s="5" t="s">
        <v>3</v>
      </c>
      <c r="AR3" s="5" t="s">
        <v>3</v>
      </c>
      <c r="AS3" s="5" t="s">
        <v>3</v>
      </c>
      <c r="AT3" s="5" t="s">
        <v>3</v>
      </c>
      <c r="AU3" s="5" t="s">
        <v>3</v>
      </c>
      <c r="AV3" s="5" t="s">
        <v>3</v>
      </c>
      <c r="AW3" s="5" t="s">
        <v>3</v>
      </c>
      <c r="AX3" s="5" t="s">
        <v>3</v>
      </c>
      <c r="AY3" s="5" t="s">
        <v>3</v>
      </c>
      <c r="AZ3" s="5" t="s">
        <v>3</v>
      </c>
      <c r="BA3" s="5" t="s">
        <v>3</v>
      </c>
      <c r="BB3" s="5" t="s">
        <v>3</v>
      </c>
      <c r="BC3" s="5" t="s">
        <v>3</v>
      </c>
      <c r="BD3" s="5" t="s">
        <v>3</v>
      </c>
      <c r="BE3" s="5" t="s">
        <v>3</v>
      </c>
      <c r="BF3" s="5" t="s">
        <v>3</v>
      </c>
      <c r="BG3" s="5" t="s">
        <v>3</v>
      </c>
      <c r="BH3" s="5" t="s">
        <v>3</v>
      </c>
      <c r="BI3" s="5" t="s">
        <v>3</v>
      </c>
      <c r="BJ3" s="5" t="s">
        <v>3</v>
      </c>
    </row>
    <row r="4" ht="16.5" customHeight="1">
      <c r="A4" s="4" t="s">
        <v>4</v>
      </c>
      <c r="B4" s="5" t="s">
        <v>3</v>
      </c>
      <c r="C4" s="5" t="s">
        <v>3</v>
      </c>
      <c r="D4" s="5" t="s">
        <v>3</v>
      </c>
      <c r="E4" s="5" t="s">
        <v>3</v>
      </c>
      <c r="F4" s="5" t="s">
        <v>3</v>
      </c>
      <c r="G4" s="5" t="s">
        <v>3</v>
      </c>
      <c r="H4" s="5" t="s">
        <v>3</v>
      </c>
      <c r="I4" s="5" t="s">
        <v>3</v>
      </c>
      <c r="J4" s="5" t="s">
        <v>3</v>
      </c>
      <c r="K4" s="5" t="s">
        <v>3</v>
      </c>
      <c r="L4" s="5" t="s">
        <v>3</v>
      </c>
      <c r="M4" s="5" t="s">
        <v>3</v>
      </c>
      <c r="N4" s="5" t="s">
        <v>3</v>
      </c>
      <c r="O4" s="5" t="s">
        <v>3</v>
      </c>
      <c r="P4" s="5" t="s">
        <v>3</v>
      </c>
      <c r="Q4" s="5" t="s">
        <v>3</v>
      </c>
      <c r="R4" s="5" t="s">
        <v>3</v>
      </c>
      <c r="S4" s="5" t="s">
        <v>3</v>
      </c>
      <c r="T4" s="5" t="s">
        <v>3</v>
      </c>
      <c r="U4" s="5" t="s">
        <v>3</v>
      </c>
      <c r="V4" s="5" t="s">
        <v>3</v>
      </c>
      <c r="W4" s="5" t="s">
        <v>3</v>
      </c>
      <c r="X4" s="5" t="s">
        <v>3</v>
      </c>
      <c r="Y4" s="5" t="s">
        <v>3</v>
      </c>
      <c r="Z4" s="5" t="s">
        <v>3</v>
      </c>
      <c r="AA4" s="5" t="s">
        <v>3</v>
      </c>
      <c r="AB4" s="5" t="s">
        <v>3</v>
      </c>
      <c r="AC4" s="5" t="s">
        <v>3</v>
      </c>
      <c r="AD4" s="5" t="s">
        <v>3</v>
      </c>
      <c r="AE4" s="5" t="s">
        <v>3</v>
      </c>
      <c r="AF4" s="5" t="s">
        <v>3</v>
      </c>
      <c r="AG4" s="5" t="s">
        <v>3</v>
      </c>
      <c r="AH4" s="5" t="s">
        <v>3</v>
      </c>
      <c r="AI4" s="5" t="s">
        <v>3</v>
      </c>
      <c r="AJ4" s="5" t="s">
        <v>3</v>
      </c>
      <c r="AK4" s="5" t="s">
        <v>3</v>
      </c>
      <c r="AL4" s="5" t="s">
        <v>3</v>
      </c>
      <c r="AM4" s="5" t="s">
        <v>3</v>
      </c>
      <c r="AN4" s="5" t="s">
        <v>3</v>
      </c>
      <c r="AO4" s="5" t="s">
        <v>3</v>
      </c>
      <c r="AP4" s="5" t="s">
        <v>3</v>
      </c>
      <c r="AQ4" s="5" t="s">
        <v>3</v>
      </c>
      <c r="AR4" s="5" t="s">
        <v>3</v>
      </c>
      <c r="AS4" s="5" t="s">
        <v>3</v>
      </c>
      <c r="AT4" s="5" t="s">
        <v>3</v>
      </c>
      <c r="AU4" s="5" t="s">
        <v>3</v>
      </c>
      <c r="AV4" s="5" t="s">
        <v>3</v>
      </c>
      <c r="AW4" s="5" t="s">
        <v>3</v>
      </c>
      <c r="AX4" s="5" t="s">
        <v>3</v>
      </c>
      <c r="AY4" s="5" t="s">
        <v>3</v>
      </c>
      <c r="AZ4" s="5" t="s">
        <v>3</v>
      </c>
      <c r="BA4" s="5" t="s">
        <v>3</v>
      </c>
      <c r="BB4" s="5" t="s">
        <v>3</v>
      </c>
      <c r="BC4" s="5" t="s">
        <v>3</v>
      </c>
      <c r="BD4" s="5" t="s">
        <v>3</v>
      </c>
      <c r="BE4" s="5" t="s">
        <v>3</v>
      </c>
      <c r="BF4" s="5" t="s">
        <v>3</v>
      </c>
      <c r="BG4" s="5" t="s">
        <v>3</v>
      </c>
      <c r="BH4" s="5" t="s">
        <v>3</v>
      </c>
      <c r="BI4" s="5" t="s">
        <v>3</v>
      </c>
      <c r="BJ4" s="5" t="s">
        <v>3</v>
      </c>
    </row>
    <row r="5" ht="15.75" customHeight="1">
      <c r="A5" s="4" t="s">
        <v>5</v>
      </c>
      <c r="B5" s="6">
        <v>0.413888888888889</v>
      </c>
      <c r="C5" s="6">
        <v>0.341666666666667</v>
      </c>
      <c r="D5" s="6">
        <v>0.560416666666667</v>
      </c>
      <c r="E5" s="6">
        <v>0.447916666666667</v>
      </c>
      <c r="F5" s="6">
        <v>0.377083333333333</v>
      </c>
      <c r="G5" s="6">
        <v>0.609722222222222</v>
      </c>
      <c r="H5" s="6">
        <v>0.327777777777778</v>
      </c>
      <c r="I5" s="6">
        <v>0.471527777777778</v>
      </c>
      <c r="J5" s="6">
        <v>0.356944444444445</v>
      </c>
      <c r="K5" s="6">
        <v>0.629861111111111</v>
      </c>
      <c r="L5" s="6">
        <v>0.425</v>
      </c>
      <c r="M5" s="6">
        <v>0.575</v>
      </c>
      <c r="N5" s="6">
        <v>0.394444444444444</v>
      </c>
      <c r="O5" s="6">
        <v>0.497222222222222</v>
      </c>
      <c r="P5" s="6">
        <v>0.339583333333333</v>
      </c>
      <c r="Q5" s="6">
        <v>0.599305555555556</v>
      </c>
      <c r="R5" s="6">
        <v>0.442361111111111</v>
      </c>
      <c r="S5" s="6">
        <v>0.322916666666667</v>
      </c>
      <c r="T5" s="6">
        <v>0.386111111111111</v>
      </c>
      <c r="U5" s="6">
        <v>0.507638888888889</v>
      </c>
      <c r="V5" s="6">
        <v>0.352083333333333</v>
      </c>
      <c r="W5" s="6">
        <v>0.619444444444445</v>
      </c>
      <c r="X5" s="6">
        <v>0.48125</v>
      </c>
      <c r="Y5" s="6">
        <v>0.403472222222222</v>
      </c>
      <c r="Z5" s="6">
        <v>0.639583333333333</v>
      </c>
      <c r="AA5" s="6">
        <v>0.422222222222222</v>
      </c>
      <c r="AB5" s="6">
        <v>0.311111111111111</v>
      </c>
      <c r="AC5" s="6">
        <v>0.4125</v>
      </c>
      <c r="AD5" s="6">
        <v>0.531944444444444</v>
      </c>
      <c r="AE5" s="6">
        <v>0.670138888888889</v>
      </c>
      <c r="AF5" s="6">
        <v>0.34375</v>
      </c>
      <c r="AG5" s="6">
        <v>0.563888888888889</v>
      </c>
      <c r="AH5" s="6">
        <v>0.450694444444445</v>
      </c>
      <c r="AI5" s="6">
        <v>0.373611111111111</v>
      </c>
      <c r="AJ5" s="6">
        <v>0.627777777777778</v>
      </c>
      <c r="AK5" s="6">
        <v>0.390277777777778</v>
      </c>
      <c r="AL5" s="6">
        <v>0.595138888888889</v>
      </c>
      <c r="AM5" s="6">
        <v>0.486805555555556</v>
      </c>
      <c r="AN5" s="6">
        <v>0.360416666666667</v>
      </c>
      <c r="AO5" s="6">
        <v>0.432638888888889</v>
      </c>
      <c r="AP5" s="6">
        <v>0.301388888888889</v>
      </c>
      <c r="AQ5" s="6">
        <v>0.504861111111111</v>
      </c>
      <c r="AR5" s="6">
        <v>0.409027777777778</v>
      </c>
      <c r="AS5" s="6">
        <v>0.622222222222222</v>
      </c>
      <c r="AT5" s="6">
        <v>0.354861111111111</v>
      </c>
      <c r="AU5" s="6">
        <v>0.543055555555556</v>
      </c>
      <c r="AV5" s="6">
        <v>0.398611111111111</v>
      </c>
      <c r="AW5" s="6">
        <v>0.470833333333333</v>
      </c>
      <c r="AX5" s="6">
        <v>0.602083333333333</v>
      </c>
      <c r="AY5" s="6">
        <v>0.66875</v>
      </c>
      <c r="AZ5" s="6">
        <v>0.338194444444445</v>
      </c>
      <c r="BA5" s="6">
        <v>0.554861111111111</v>
      </c>
      <c r="BB5" s="6">
        <v>0.448611111111111</v>
      </c>
      <c r="BC5" s="6">
        <v>0.632638888888889</v>
      </c>
      <c r="BD5" s="6">
        <v>0.306944444444445</v>
      </c>
      <c r="BE5" s="6">
        <v>0.495833333333333</v>
      </c>
      <c r="BF5" s="6">
        <v>0.695138888888889</v>
      </c>
      <c r="BG5" s="6">
        <v>0.36875</v>
      </c>
      <c r="BH5" s="6">
        <v>0.520138888888889</v>
      </c>
      <c r="BI5" s="6">
        <v>0.384027777777778</v>
      </c>
      <c r="BJ5" s="6">
        <v>0.655555555555556</v>
      </c>
    </row>
    <row r="6" ht="15.75" customHeight="1">
      <c r="A6" s="4" t="s">
        <v>6</v>
      </c>
      <c r="B6" s="7" t="s">
        <v>7</v>
      </c>
      <c r="C6" s="7" t="s">
        <v>8</v>
      </c>
      <c r="D6" s="7" t="s">
        <v>9</v>
      </c>
      <c r="E6" s="7" t="s">
        <v>10</v>
      </c>
      <c r="F6" s="7" t="s">
        <v>11</v>
      </c>
      <c r="G6" s="7" t="s">
        <v>12</v>
      </c>
      <c r="H6" s="7" t="s">
        <v>13</v>
      </c>
      <c r="I6" s="7" t="s">
        <v>14</v>
      </c>
      <c r="J6" s="7" t="s">
        <v>15</v>
      </c>
      <c r="K6" s="7" t="s">
        <v>16</v>
      </c>
      <c r="L6" s="7" t="s">
        <v>17</v>
      </c>
      <c r="M6" s="7" t="s">
        <v>18</v>
      </c>
      <c r="N6" s="7" t="s">
        <v>19</v>
      </c>
      <c r="O6" s="7" t="s">
        <v>20</v>
      </c>
      <c r="P6" s="7" t="s">
        <v>21</v>
      </c>
      <c r="Q6" s="7" t="s">
        <v>22</v>
      </c>
      <c r="R6" s="7" t="s">
        <v>23</v>
      </c>
      <c r="S6" s="7" t="s">
        <v>24</v>
      </c>
      <c r="T6" s="7" t="s">
        <v>25</v>
      </c>
      <c r="U6" s="7" t="s">
        <v>26</v>
      </c>
      <c r="V6" s="7" t="s">
        <v>27</v>
      </c>
      <c r="W6" s="7" t="s">
        <v>28</v>
      </c>
      <c r="X6" s="7" t="s">
        <v>29</v>
      </c>
      <c r="Y6" s="7" t="s">
        <v>30</v>
      </c>
      <c r="Z6" s="7" t="s">
        <v>31</v>
      </c>
      <c r="AA6" s="7" t="s">
        <v>32</v>
      </c>
      <c r="AB6" s="7" t="s">
        <v>33</v>
      </c>
      <c r="AC6" s="7" t="s">
        <v>34</v>
      </c>
      <c r="AD6" s="7" t="s">
        <v>35</v>
      </c>
      <c r="AE6" s="7" t="s">
        <v>36</v>
      </c>
      <c r="AF6" s="7" t="s">
        <v>37</v>
      </c>
      <c r="AG6" s="7" t="s">
        <v>38</v>
      </c>
      <c r="AH6" s="7" t="s">
        <v>39</v>
      </c>
      <c r="AI6" s="7" t="s">
        <v>40</v>
      </c>
      <c r="AJ6" s="7" t="s">
        <v>41</v>
      </c>
      <c r="AK6" s="7" t="s">
        <v>42</v>
      </c>
      <c r="AL6" s="7" t="s">
        <v>43</v>
      </c>
      <c r="AM6" s="7" t="s">
        <v>44</v>
      </c>
      <c r="AN6" s="7" t="s">
        <v>45</v>
      </c>
      <c r="AO6" s="7" t="s">
        <v>46</v>
      </c>
      <c r="AP6" s="7" t="s">
        <v>47</v>
      </c>
      <c r="AQ6" s="7" t="s">
        <v>48</v>
      </c>
      <c r="AR6" s="7" t="s">
        <v>49</v>
      </c>
      <c r="AS6" s="7" t="s">
        <v>50</v>
      </c>
      <c r="AT6" s="7" t="s">
        <v>51</v>
      </c>
      <c r="AU6" s="7" t="s">
        <v>52</v>
      </c>
      <c r="AV6" s="7" t="s">
        <v>53</v>
      </c>
      <c r="AW6" s="7" t="s">
        <v>54</v>
      </c>
      <c r="AX6" s="7" t="s">
        <v>55</v>
      </c>
      <c r="AY6" s="7" t="s">
        <v>56</v>
      </c>
      <c r="AZ6" s="7" t="s">
        <v>57</v>
      </c>
      <c r="BA6" s="7" t="s">
        <v>58</v>
      </c>
      <c r="BB6" s="7" t="s">
        <v>59</v>
      </c>
      <c r="BC6" s="7" t="s">
        <v>60</v>
      </c>
      <c r="BD6" s="7" t="s">
        <v>61</v>
      </c>
      <c r="BE6" s="7" t="s">
        <v>62</v>
      </c>
      <c r="BF6" s="7" t="s">
        <v>63</v>
      </c>
      <c r="BG6" s="7" t="s">
        <v>64</v>
      </c>
      <c r="BH6" s="7" t="s">
        <v>65</v>
      </c>
      <c r="BI6" s="7" t="s">
        <v>66</v>
      </c>
      <c r="BJ6" s="7" t="s">
        <v>67</v>
      </c>
    </row>
    <row r="7" ht="15.75" customHeight="1">
      <c r="A7" s="4" t="s">
        <v>68</v>
      </c>
      <c r="B7" s="4" t="s">
        <v>69</v>
      </c>
      <c r="C7" s="4" t="s">
        <v>70</v>
      </c>
      <c r="D7" s="4" t="s">
        <v>71</v>
      </c>
      <c r="E7" s="4" t="s">
        <v>72</v>
      </c>
      <c r="F7" s="4" t="s">
        <v>70</v>
      </c>
      <c r="G7" s="4" t="s">
        <v>73</v>
      </c>
      <c r="H7" s="4" t="s">
        <v>71</v>
      </c>
      <c r="I7" s="4" t="s">
        <v>72</v>
      </c>
      <c r="J7" s="4" t="s">
        <v>70</v>
      </c>
      <c r="K7" s="4" t="s">
        <v>70</v>
      </c>
      <c r="L7" s="4" t="s">
        <v>71</v>
      </c>
      <c r="M7" s="4" t="s">
        <v>72</v>
      </c>
      <c r="N7" s="4" t="s">
        <v>70</v>
      </c>
      <c r="O7" s="4" t="s">
        <v>71</v>
      </c>
      <c r="P7" s="4" t="s">
        <v>70</v>
      </c>
      <c r="Q7" s="4" t="s">
        <v>72</v>
      </c>
      <c r="R7" s="4" t="s">
        <v>70</v>
      </c>
      <c r="S7" s="4" t="s">
        <v>71</v>
      </c>
      <c r="T7" s="4" t="s">
        <v>74</v>
      </c>
      <c r="U7" s="4" t="s">
        <v>70</v>
      </c>
      <c r="V7" s="4" t="s">
        <v>72</v>
      </c>
      <c r="W7" s="4" t="s">
        <v>71</v>
      </c>
      <c r="X7" s="4" t="s">
        <v>70</v>
      </c>
      <c r="Y7" s="4" t="s">
        <v>75</v>
      </c>
      <c r="Z7" s="4" t="s">
        <v>72</v>
      </c>
      <c r="AA7" s="4" t="s">
        <v>70</v>
      </c>
      <c r="AB7" s="4" t="s">
        <v>71</v>
      </c>
      <c r="AC7" s="4" t="s">
        <v>70</v>
      </c>
      <c r="AD7" s="4" t="s">
        <v>72</v>
      </c>
      <c r="AE7" s="4" t="s">
        <v>76</v>
      </c>
      <c r="AF7" s="4" t="s">
        <v>71</v>
      </c>
      <c r="AG7" s="4" t="s">
        <v>70</v>
      </c>
      <c r="AH7" s="4" t="s">
        <v>72</v>
      </c>
      <c r="AI7" s="4" t="s">
        <v>70</v>
      </c>
      <c r="AJ7" s="4" t="s">
        <v>71</v>
      </c>
      <c r="AK7" s="4" t="s">
        <v>70</v>
      </c>
      <c r="AL7" s="4" t="s">
        <v>72</v>
      </c>
      <c r="AM7" s="4" t="s">
        <v>71</v>
      </c>
      <c r="AN7" s="4" t="s">
        <v>70</v>
      </c>
      <c r="AO7" s="4" t="s">
        <v>72</v>
      </c>
      <c r="AP7" s="4" t="s">
        <v>71</v>
      </c>
      <c r="AQ7" s="4" t="s">
        <v>73</v>
      </c>
      <c r="AR7" s="4" t="s">
        <v>72</v>
      </c>
      <c r="AS7" s="4" t="s">
        <v>70</v>
      </c>
      <c r="AT7" s="4" t="s">
        <v>71</v>
      </c>
      <c r="AU7" s="4" t="s">
        <v>72</v>
      </c>
      <c r="AV7" s="4" t="s">
        <v>70</v>
      </c>
      <c r="AW7" s="4" t="s">
        <v>71</v>
      </c>
      <c r="AX7" s="4" t="s">
        <v>72</v>
      </c>
      <c r="AY7" s="4" t="s">
        <v>70</v>
      </c>
      <c r="AZ7" s="4" t="s">
        <v>71</v>
      </c>
      <c r="BA7" s="4" t="s">
        <v>72</v>
      </c>
      <c r="BB7" s="4" t="s">
        <v>70</v>
      </c>
      <c r="BC7" s="4" t="s">
        <v>75</v>
      </c>
      <c r="BD7" s="4" t="s">
        <v>70</v>
      </c>
      <c r="BE7" s="4" t="s">
        <v>72</v>
      </c>
      <c r="BF7" s="4" t="s">
        <v>71</v>
      </c>
      <c r="BG7" s="4" t="s">
        <v>70</v>
      </c>
      <c r="BH7" s="4" t="s">
        <v>72</v>
      </c>
      <c r="BI7" s="4" t="s">
        <v>73</v>
      </c>
      <c r="BJ7" s="4" t="s">
        <v>71</v>
      </c>
    </row>
    <row r="8" ht="15.75" customHeight="1">
      <c r="A8" s="4" t="s">
        <v>77</v>
      </c>
      <c r="B8" s="8" t="s">
        <v>78</v>
      </c>
      <c r="C8" s="8" t="s">
        <v>78</v>
      </c>
      <c r="D8" s="8" t="s">
        <v>79</v>
      </c>
      <c r="E8" s="8" t="s">
        <v>78</v>
      </c>
      <c r="F8" s="8" t="s">
        <v>78</v>
      </c>
      <c r="G8" s="8" t="s">
        <v>79</v>
      </c>
      <c r="H8" s="8" t="s">
        <v>78</v>
      </c>
      <c r="I8" s="8" t="s">
        <v>80</v>
      </c>
      <c r="J8" s="8" t="s">
        <v>78</v>
      </c>
      <c r="K8" s="8" t="s">
        <v>79</v>
      </c>
      <c r="L8" s="8" t="s">
        <v>78</v>
      </c>
      <c r="M8" s="8" t="s">
        <v>78</v>
      </c>
      <c r="N8" s="8" t="s">
        <v>79</v>
      </c>
      <c r="O8" s="8" t="s">
        <v>80</v>
      </c>
      <c r="P8" s="8" t="s">
        <v>79</v>
      </c>
      <c r="Q8" s="8" t="s">
        <v>78</v>
      </c>
      <c r="R8" s="8" t="s">
        <v>78</v>
      </c>
      <c r="S8" s="8" t="s">
        <v>79</v>
      </c>
      <c r="T8" s="8" t="s">
        <v>78</v>
      </c>
      <c r="U8" s="8" t="s">
        <v>80</v>
      </c>
      <c r="V8" s="8" t="s">
        <v>78</v>
      </c>
      <c r="W8" s="8" t="s">
        <v>79</v>
      </c>
      <c r="X8" s="8" t="s">
        <v>78</v>
      </c>
      <c r="Y8" s="8" t="s">
        <v>79</v>
      </c>
      <c r="Z8" s="8" t="s">
        <v>78</v>
      </c>
      <c r="AA8" s="8" t="s">
        <v>79</v>
      </c>
      <c r="AB8" s="8" t="s">
        <v>78</v>
      </c>
      <c r="AC8" s="8" t="s">
        <v>78</v>
      </c>
      <c r="AD8" s="8" t="s">
        <v>79</v>
      </c>
      <c r="AE8" s="8" t="s">
        <v>80</v>
      </c>
      <c r="AF8" s="8" t="s">
        <v>78</v>
      </c>
      <c r="AG8" s="8" t="s">
        <v>79</v>
      </c>
      <c r="AH8" s="8" t="s">
        <v>80</v>
      </c>
      <c r="AI8" s="8" t="s">
        <v>78</v>
      </c>
      <c r="AJ8" s="8" t="s">
        <v>78</v>
      </c>
      <c r="AK8" s="8" t="s">
        <v>79</v>
      </c>
      <c r="AL8" s="8" t="s">
        <v>78</v>
      </c>
      <c r="AM8" s="8" t="s">
        <v>78</v>
      </c>
      <c r="AN8" s="8" t="s">
        <v>79</v>
      </c>
      <c r="AO8" s="8" t="s">
        <v>79</v>
      </c>
      <c r="AP8" s="8" t="s">
        <v>78</v>
      </c>
      <c r="AQ8" s="8" t="s">
        <v>80</v>
      </c>
      <c r="AR8" s="8" t="s">
        <v>79</v>
      </c>
      <c r="AS8" s="8" t="s">
        <v>78</v>
      </c>
      <c r="AT8" s="8" t="s">
        <v>80</v>
      </c>
      <c r="AU8" s="8" t="s">
        <v>78</v>
      </c>
      <c r="AV8" s="8" t="s">
        <v>79</v>
      </c>
      <c r="AW8" s="8" t="s">
        <v>78</v>
      </c>
      <c r="AX8" s="8" t="s">
        <v>78</v>
      </c>
      <c r="AY8" s="8" t="s">
        <v>80</v>
      </c>
      <c r="AZ8" s="8" t="s">
        <v>79</v>
      </c>
      <c r="BA8" s="8" t="s">
        <v>78</v>
      </c>
      <c r="BB8" s="8" t="s">
        <v>79</v>
      </c>
      <c r="BC8" s="8" t="s">
        <v>78</v>
      </c>
      <c r="BD8" s="8" t="s">
        <v>79</v>
      </c>
      <c r="BE8" s="8" t="s">
        <v>78</v>
      </c>
      <c r="BF8" s="8" t="s">
        <v>80</v>
      </c>
      <c r="BG8" s="8" t="s">
        <v>78</v>
      </c>
      <c r="BH8" s="8" t="s">
        <v>79</v>
      </c>
      <c r="BI8" s="8" t="s">
        <v>78</v>
      </c>
      <c r="BJ8" s="8" t="s">
        <v>79</v>
      </c>
    </row>
    <row r="9" ht="16.5" customHeight="1">
      <c r="A9" s="2" t="s">
        <v>81</v>
      </c>
      <c r="B9" s="9" t="s">
        <v>82</v>
      </c>
      <c r="C9" s="9" t="s">
        <v>82</v>
      </c>
      <c r="D9" s="9" t="s">
        <v>82</v>
      </c>
      <c r="E9" s="9" t="s">
        <v>82</v>
      </c>
      <c r="F9" s="9" t="s">
        <v>82</v>
      </c>
      <c r="G9" s="9" t="s">
        <v>82</v>
      </c>
      <c r="H9" s="9" t="s">
        <v>82</v>
      </c>
      <c r="I9" s="9" t="s">
        <v>82</v>
      </c>
      <c r="J9" s="9" t="s">
        <v>82</v>
      </c>
      <c r="K9" s="9" t="s">
        <v>82</v>
      </c>
      <c r="L9" s="9" t="s">
        <v>82</v>
      </c>
      <c r="M9" s="9" t="s">
        <v>82</v>
      </c>
      <c r="N9" s="9" t="s">
        <v>82</v>
      </c>
      <c r="O9" s="9" t="s">
        <v>82</v>
      </c>
      <c r="P9" s="9" t="s">
        <v>82</v>
      </c>
      <c r="Q9" s="9" t="s">
        <v>82</v>
      </c>
      <c r="R9" s="9" t="s">
        <v>82</v>
      </c>
      <c r="S9" s="9" t="s">
        <v>82</v>
      </c>
      <c r="T9" s="9" t="s">
        <v>82</v>
      </c>
      <c r="U9" s="9" t="s">
        <v>82</v>
      </c>
      <c r="V9" s="9" t="s">
        <v>82</v>
      </c>
      <c r="W9" s="9" t="s">
        <v>82</v>
      </c>
      <c r="X9" s="9" t="s">
        <v>82</v>
      </c>
      <c r="Y9" s="9" t="s">
        <v>82</v>
      </c>
      <c r="Z9" s="9" t="s">
        <v>82</v>
      </c>
      <c r="AA9" s="9" t="s">
        <v>82</v>
      </c>
      <c r="AB9" s="9" t="s">
        <v>82</v>
      </c>
      <c r="AC9" s="9" t="s">
        <v>82</v>
      </c>
      <c r="AD9" s="9" t="s">
        <v>82</v>
      </c>
      <c r="AE9" s="9" t="s">
        <v>82</v>
      </c>
      <c r="AF9" s="9" t="s">
        <v>82</v>
      </c>
      <c r="AG9" s="9" t="s">
        <v>82</v>
      </c>
      <c r="AH9" s="9" t="s">
        <v>82</v>
      </c>
      <c r="AI9" s="9" t="s">
        <v>82</v>
      </c>
      <c r="AJ9" s="9" t="s">
        <v>82</v>
      </c>
      <c r="AK9" s="9" t="s">
        <v>82</v>
      </c>
      <c r="AL9" s="9" t="s">
        <v>82</v>
      </c>
      <c r="AM9" s="9" t="s">
        <v>82</v>
      </c>
      <c r="AN9" s="9" t="s">
        <v>82</v>
      </c>
      <c r="AO9" s="9" t="s">
        <v>82</v>
      </c>
      <c r="AP9" s="9" t="s">
        <v>82</v>
      </c>
      <c r="AQ9" s="9" t="s">
        <v>82</v>
      </c>
      <c r="AR9" s="9" t="s">
        <v>82</v>
      </c>
      <c r="AS9" s="9" t="s">
        <v>82</v>
      </c>
      <c r="AT9" s="9" t="s">
        <v>82</v>
      </c>
      <c r="AU9" s="9" t="s">
        <v>82</v>
      </c>
      <c r="AV9" s="9" t="s">
        <v>82</v>
      </c>
      <c r="AW9" s="9" t="s">
        <v>82</v>
      </c>
      <c r="AX9" s="9" t="s">
        <v>82</v>
      </c>
      <c r="AY9" s="9" t="s">
        <v>82</v>
      </c>
      <c r="AZ9" s="9" t="s">
        <v>82</v>
      </c>
      <c r="BA9" s="9" t="s">
        <v>82</v>
      </c>
      <c r="BB9" s="9" t="s">
        <v>82</v>
      </c>
      <c r="BC9" s="9" t="s">
        <v>82</v>
      </c>
      <c r="BD9" s="9" t="s">
        <v>82</v>
      </c>
      <c r="BE9" s="9" t="s">
        <v>82</v>
      </c>
      <c r="BF9" s="9" t="s">
        <v>82</v>
      </c>
      <c r="BG9" s="9" t="s">
        <v>82</v>
      </c>
      <c r="BH9" s="9" t="s">
        <v>82</v>
      </c>
      <c r="BI9" s="9" t="s">
        <v>82</v>
      </c>
      <c r="BJ9" s="9" t="s">
        <v>82</v>
      </c>
    </row>
    <row r="10" ht="15.75" customHeight="1">
      <c r="A10" s="1" t="s">
        <v>83</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ht="16.5" customHeight="1">
      <c r="A11" s="10" t="s">
        <v>84</v>
      </c>
      <c r="B11" s="11" t="s">
        <v>85</v>
      </c>
      <c r="C11" s="11" t="s">
        <v>85</v>
      </c>
      <c r="D11" s="11" t="s">
        <v>85</v>
      </c>
      <c r="E11" s="11" t="s">
        <v>85</v>
      </c>
      <c r="F11" s="11" t="s">
        <v>85</v>
      </c>
      <c r="G11" s="11" t="s">
        <v>85</v>
      </c>
      <c r="H11" s="11" t="s">
        <v>85</v>
      </c>
      <c r="I11" s="11" t="s">
        <v>85</v>
      </c>
      <c r="J11" s="11" t="s">
        <v>85</v>
      </c>
      <c r="K11" s="11" t="s">
        <v>85</v>
      </c>
      <c r="L11" s="11" t="s">
        <v>85</v>
      </c>
      <c r="M11" s="11" t="s">
        <v>85</v>
      </c>
      <c r="N11" s="11" t="s">
        <v>85</v>
      </c>
      <c r="O11" s="11" t="s">
        <v>85</v>
      </c>
      <c r="P11" s="11" t="s">
        <v>85</v>
      </c>
      <c r="Q11" s="11" t="s">
        <v>85</v>
      </c>
      <c r="R11" s="11" t="s">
        <v>85</v>
      </c>
      <c r="S11" s="11" t="s">
        <v>85</v>
      </c>
      <c r="T11" s="11" t="s">
        <v>85</v>
      </c>
      <c r="U11" s="11" t="s">
        <v>85</v>
      </c>
      <c r="V11" s="11" t="s">
        <v>85</v>
      </c>
      <c r="W11" s="11" t="s">
        <v>85</v>
      </c>
      <c r="X11" s="11" t="s">
        <v>85</v>
      </c>
      <c r="Y11" s="11" t="s">
        <v>85</v>
      </c>
      <c r="Z11" s="11" t="s">
        <v>85</v>
      </c>
      <c r="AA11" s="11" t="s">
        <v>85</v>
      </c>
      <c r="AB11" s="11" t="s">
        <v>85</v>
      </c>
      <c r="AC11" s="11" t="s">
        <v>85</v>
      </c>
      <c r="AD11" s="11" t="s">
        <v>85</v>
      </c>
      <c r="AE11" s="11" t="s">
        <v>85</v>
      </c>
      <c r="AF11" s="11" t="s">
        <v>85</v>
      </c>
      <c r="AG11" s="11" t="s">
        <v>85</v>
      </c>
      <c r="AH11" s="11" t="s">
        <v>85</v>
      </c>
      <c r="AI11" s="11" t="s">
        <v>85</v>
      </c>
      <c r="AJ11" s="11" t="s">
        <v>85</v>
      </c>
      <c r="AK11" s="11" t="s">
        <v>85</v>
      </c>
      <c r="AL11" s="11" t="s">
        <v>85</v>
      </c>
      <c r="AM11" s="11" t="s">
        <v>85</v>
      </c>
      <c r="AN11" s="11" t="s">
        <v>85</v>
      </c>
      <c r="AO11" s="11" t="s">
        <v>85</v>
      </c>
      <c r="AP11" s="11" t="s">
        <v>85</v>
      </c>
      <c r="AQ11" s="11" t="s">
        <v>85</v>
      </c>
      <c r="AR11" s="11" t="s">
        <v>85</v>
      </c>
      <c r="AS11" s="11" t="s">
        <v>85</v>
      </c>
      <c r="AT11" s="11" t="s">
        <v>85</v>
      </c>
      <c r="AU11" s="11" t="s">
        <v>85</v>
      </c>
      <c r="AV11" s="11" t="s">
        <v>85</v>
      </c>
      <c r="AW11" s="11" t="s">
        <v>85</v>
      </c>
      <c r="AX11" s="11" t="s">
        <v>85</v>
      </c>
      <c r="AY11" s="11" t="s">
        <v>85</v>
      </c>
      <c r="AZ11" s="11" t="s">
        <v>85</v>
      </c>
      <c r="BA11" s="11" t="s">
        <v>85</v>
      </c>
      <c r="BB11" s="11" t="s">
        <v>85</v>
      </c>
      <c r="BC11" s="11" t="s">
        <v>85</v>
      </c>
      <c r="BD11" s="11" t="s">
        <v>85</v>
      </c>
      <c r="BE11" s="11" t="s">
        <v>85</v>
      </c>
      <c r="BF11" s="11" t="s">
        <v>85</v>
      </c>
      <c r="BG11" s="11" t="s">
        <v>85</v>
      </c>
      <c r="BH11" s="11" t="s">
        <v>85</v>
      </c>
      <c r="BI11" s="11" t="s">
        <v>85</v>
      </c>
      <c r="BJ11" s="11" t="s">
        <v>85</v>
      </c>
    </row>
    <row r="12" ht="16.5" customHeight="1">
      <c r="A12" s="10" t="s">
        <v>86</v>
      </c>
      <c r="B12" s="11" t="s">
        <v>85</v>
      </c>
      <c r="C12" s="11" t="s">
        <v>85</v>
      </c>
      <c r="D12" s="11" t="s">
        <v>85</v>
      </c>
      <c r="E12" s="11" t="s">
        <v>85</v>
      </c>
      <c r="F12" s="11" t="s">
        <v>85</v>
      </c>
      <c r="G12" s="11" t="s">
        <v>85</v>
      </c>
      <c r="H12" s="11" t="s">
        <v>85</v>
      </c>
      <c r="I12" s="11" t="s">
        <v>85</v>
      </c>
      <c r="J12" s="11" t="s">
        <v>85</v>
      </c>
      <c r="K12" s="11" t="s">
        <v>85</v>
      </c>
      <c r="L12" s="11" t="s">
        <v>85</v>
      </c>
      <c r="M12" s="11" t="s">
        <v>85</v>
      </c>
      <c r="N12" s="11" t="s">
        <v>85</v>
      </c>
      <c r="O12" s="11" t="s">
        <v>85</v>
      </c>
      <c r="P12" s="11" t="s">
        <v>85</v>
      </c>
      <c r="Q12" s="11" t="s">
        <v>85</v>
      </c>
      <c r="R12" s="11" t="s">
        <v>85</v>
      </c>
      <c r="S12" s="11" t="s">
        <v>85</v>
      </c>
      <c r="T12" s="11" t="s">
        <v>85</v>
      </c>
      <c r="U12" s="11" t="s">
        <v>85</v>
      </c>
      <c r="V12" s="11" t="s">
        <v>85</v>
      </c>
      <c r="W12" s="11" t="s">
        <v>85</v>
      </c>
      <c r="X12" s="11" t="s">
        <v>85</v>
      </c>
      <c r="Y12" s="11" t="s">
        <v>85</v>
      </c>
      <c r="Z12" s="11" t="s">
        <v>85</v>
      </c>
      <c r="AA12" s="11" t="s">
        <v>85</v>
      </c>
      <c r="AB12" s="11" t="s">
        <v>85</v>
      </c>
      <c r="AC12" s="11" t="s">
        <v>85</v>
      </c>
      <c r="AD12" s="11" t="s">
        <v>85</v>
      </c>
      <c r="AE12" s="11" t="s">
        <v>85</v>
      </c>
      <c r="AF12" s="11" t="s">
        <v>85</v>
      </c>
      <c r="AG12" s="11" t="s">
        <v>85</v>
      </c>
      <c r="AH12" s="11" t="s">
        <v>85</v>
      </c>
      <c r="AI12" s="11" t="s">
        <v>85</v>
      </c>
      <c r="AJ12" s="11" t="s">
        <v>85</v>
      </c>
      <c r="AK12" s="11" t="s">
        <v>85</v>
      </c>
      <c r="AL12" s="11" t="s">
        <v>85</v>
      </c>
      <c r="AM12" s="11" t="s">
        <v>85</v>
      </c>
      <c r="AN12" s="11" t="s">
        <v>85</v>
      </c>
      <c r="AO12" s="11" t="s">
        <v>85</v>
      </c>
      <c r="AP12" s="11" t="s">
        <v>85</v>
      </c>
      <c r="AQ12" s="11" t="s">
        <v>85</v>
      </c>
      <c r="AR12" s="11" t="s">
        <v>85</v>
      </c>
      <c r="AS12" s="11" t="s">
        <v>85</v>
      </c>
      <c r="AT12" s="11" t="s">
        <v>87</v>
      </c>
      <c r="AU12" s="11" t="s">
        <v>85</v>
      </c>
      <c r="AV12" s="11" t="s">
        <v>85</v>
      </c>
      <c r="AW12" s="11" t="s">
        <v>85</v>
      </c>
      <c r="AX12" s="11" t="s">
        <v>85</v>
      </c>
      <c r="AY12" s="11" t="s">
        <v>85</v>
      </c>
      <c r="AZ12" s="11" t="s">
        <v>85</v>
      </c>
      <c r="BA12" s="11" t="s">
        <v>85</v>
      </c>
      <c r="BB12" s="11" t="s">
        <v>85</v>
      </c>
      <c r="BC12" s="11" t="s">
        <v>85</v>
      </c>
      <c r="BD12" s="11" t="s">
        <v>85</v>
      </c>
      <c r="BE12" s="11" t="s">
        <v>85</v>
      </c>
      <c r="BF12" s="11" t="s">
        <v>85</v>
      </c>
      <c r="BG12" s="11" t="s">
        <v>85</v>
      </c>
      <c r="BH12" s="11" t="s">
        <v>85</v>
      </c>
      <c r="BI12" s="11" t="s">
        <v>85</v>
      </c>
      <c r="BJ12" s="11" t="s">
        <v>85</v>
      </c>
    </row>
    <row r="13" ht="16.5" customHeight="1">
      <c r="A13" s="10" t="s">
        <v>88</v>
      </c>
      <c r="B13" s="11" t="s">
        <v>89</v>
      </c>
      <c r="C13" s="11" t="s">
        <v>89</v>
      </c>
      <c r="D13" s="11" t="s">
        <v>89</v>
      </c>
      <c r="E13" s="11" t="s">
        <v>89</v>
      </c>
      <c r="F13" s="11" t="s">
        <v>89</v>
      </c>
      <c r="G13" s="11" t="s">
        <v>89</v>
      </c>
      <c r="H13" s="11" t="s">
        <v>89</v>
      </c>
      <c r="I13" s="11" t="s">
        <v>89</v>
      </c>
      <c r="J13" s="11" t="s">
        <v>89</v>
      </c>
      <c r="K13" s="11" t="s">
        <v>89</v>
      </c>
      <c r="L13" s="11" t="s">
        <v>90</v>
      </c>
      <c r="M13" s="11" t="s">
        <v>89</v>
      </c>
      <c r="N13" s="11" t="s">
        <v>89</v>
      </c>
      <c r="O13" s="11" t="s">
        <v>89</v>
      </c>
      <c r="P13" s="11" t="s">
        <v>89</v>
      </c>
      <c r="Q13" s="11" t="s">
        <v>89</v>
      </c>
      <c r="R13" s="11" t="s">
        <v>89</v>
      </c>
      <c r="S13" s="11" t="s">
        <v>90</v>
      </c>
      <c r="T13" s="11" t="s">
        <v>89</v>
      </c>
      <c r="U13" s="11" t="s">
        <v>89</v>
      </c>
      <c r="V13" s="11" t="s">
        <v>89</v>
      </c>
      <c r="W13" s="11" t="s">
        <v>89</v>
      </c>
      <c r="X13" s="11" t="s">
        <v>89</v>
      </c>
      <c r="Y13" s="11" t="s">
        <v>89</v>
      </c>
      <c r="Z13" s="11" t="s">
        <v>89</v>
      </c>
      <c r="AA13" s="11" t="s">
        <v>89</v>
      </c>
      <c r="AB13" s="11" t="s">
        <v>89</v>
      </c>
      <c r="AC13" s="11" t="s">
        <v>89</v>
      </c>
      <c r="AD13" s="11" t="s">
        <v>89</v>
      </c>
      <c r="AE13" s="11" t="s">
        <v>89</v>
      </c>
      <c r="AF13" s="11" t="s">
        <v>89</v>
      </c>
      <c r="AG13" s="11" t="s">
        <v>89</v>
      </c>
      <c r="AH13" s="11" t="s">
        <v>89</v>
      </c>
      <c r="AI13" s="11" t="s">
        <v>89</v>
      </c>
      <c r="AJ13" s="11" t="s">
        <v>89</v>
      </c>
      <c r="AK13" s="11" t="s">
        <v>89</v>
      </c>
      <c r="AL13" s="11" t="s">
        <v>89</v>
      </c>
      <c r="AM13" s="11" t="s">
        <v>89</v>
      </c>
      <c r="AN13" s="11" t="s">
        <v>89</v>
      </c>
      <c r="AO13" s="11" t="s">
        <v>89</v>
      </c>
      <c r="AP13" s="11" t="s">
        <v>89</v>
      </c>
      <c r="AQ13" s="11" t="s">
        <v>89</v>
      </c>
      <c r="AR13" s="11" t="s">
        <v>90</v>
      </c>
      <c r="AS13" s="11" t="s">
        <v>89</v>
      </c>
      <c r="AT13" s="11" t="s">
        <v>89</v>
      </c>
      <c r="AU13" s="11" t="s">
        <v>89</v>
      </c>
      <c r="AV13" s="11" t="s">
        <v>89</v>
      </c>
      <c r="AW13" s="11" t="s">
        <v>89</v>
      </c>
      <c r="AX13" s="11" t="s">
        <v>89</v>
      </c>
      <c r="AY13" s="11" t="s">
        <v>89</v>
      </c>
      <c r="AZ13" s="11" t="s">
        <v>89</v>
      </c>
      <c r="BA13" s="11" t="s">
        <v>89</v>
      </c>
      <c r="BB13" s="11" t="s">
        <v>89</v>
      </c>
      <c r="BC13" s="11" t="s">
        <v>90</v>
      </c>
      <c r="BD13" s="11" t="s">
        <v>89</v>
      </c>
      <c r="BE13" s="11" t="s">
        <v>89</v>
      </c>
      <c r="BF13" s="11" t="s">
        <v>89</v>
      </c>
      <c r="BG13" s="11" t="s">
        <v>89</v>
      </c>
      <c r="BH13" s="11" t="s">
        <v>89</v>
      </c>
      <c r="BI13" s="11" t="s">
        <v>89</v>
      </c>
      <c r="BJ13" s="11" t="s">
        <v>89</v>
      </c>
    </row>
    <row r="14" ht="16.5" customHeight="1">
      <c r="A14" s="10" t="s">
        <v>91</v>
      </c>
      <c r="B14" s="11" t="s">
        <v>85</v>
      </c>
      <c r="C14" s="11" t="s">
        <v>85</v>
      </c>
      <c r="D14" s="11" t="s">
        <v>85</v>
      </c>
      <c r="E14" s="11" t="s">
        <v>85</v>
      </c>
      <c r="F14" s="11" t="s">
        <v>85</v>
      </c>
      <c r="G14" s="11" t="s">
        <v>85</v>
      </c>
      <c r="H14" s="11" t="s">
        <v>85</v>
      </c>
      <c r="I14" s="11" t="s">
        <v>85</v>
      </c>
      <c r="J14" s="11" t="s">
        <v>85</v>
      </c>
      <c r="K14" s="11" t="s">
        <v>85</v>
      </c>
      <c r="L14" s="11" t="s">
        <v>85</v>
      </c>
      <c r="M14" s="11" t="s">
        <v>85</v>
      </c>
      <c r="N14" s="11" t="s">
        <v>85</v>
      </c>
      <c r="O14" s="11" t="s">
        <v>85</v>
      </c>
      <c r="P14" s="11" t="s">
        <v>85</v>
      </c>
      <c r="Q14" s="11" t="s">
        <v>85</v>
      </c>
      <c r="R14" s="11" t="s">
        <v>85</v>
      </c>
      <c r="S14" s="11" t="s">
        <v>85</v>
      </c>
      <c r="T14" s="11" t="s">
        <v>85</v>
      </c>
      <c r="U14" s="11" t="s">
        <v>85</v>
      </c>
      <c r="V14" s="11" t="s">
        <v>85</v>
      </c>
      <c r="W14" s="11" t="s">
        <v>85</v>
      </c>
      <c r="X14" s="11" t="s">
        <v>85</v>
      </c>
      <c r="Y14" s="11" t="s">
        <v>87</v>
      </c>
      <c r="Z14" s="11" t="s">
        <v>85</v>
      </c>
      <c r="AA14" s="11" t="s">
        <v>85</v>
      </c>
      <c r="AB14" s="11" t="s">
        <v>85</v>
      </c>
      <c r="AC14" s="11" t="s">
        <v>85</v>
      </c>
      <c r="AD14" s="11" t="s">
        <v>85</v>
      </c>
      <c r="AE14" s="11" t="s">
        <v>85</v>
      </c>
      <c r="AF14" s="11" t="s">
        <v>85</v>
      </c>
      <c r="AG14" s="11" t="s">
        <v>85</v>
      </c>
      <c r="AH14" s="11" t="s">
        <v>85</v>
      </c>
      <c r="AI14" s="11" t="s">
        <v>85</v>
      </c>
      <c r="AJ14" s="11" t="s">
        <v>85</v>
      </c>
      <c r="AK14" s="11" t="s">
        <v>85</v>
      </c>
      <c r="AL14" s="11" t="s">
        <v>85</v>
      </c>
      <c r="AM14" s="11" t="s">
        <v>85</v>
      </c>
      <c r="AN14" s="11" t="s">
        <v>85</v>
      </c>
      <c r="AO14" s="11" t="s">
        <v>85</v>
      </c>
      <c r="AP14" s="11" t="s">
        <v>85</v>
      </c>
      <c r="AQ14" s="11" t="s">
        <v>85</v>
      </c>
      <c r="AR14" s="11" t="s">
        <v>85</v>
      </c>
      <c r="AS14" s="11" t="s">
        <v>85</v>
      </c>
      <c r="AT14" s="11" t="s">
        <v>85</v>
      </c>
      <c r="AU14" s="11" t="s">
        <v>85</v>
      </c>
      <c r="AV14" s="11" t="s">
        <v>85</v>
      </c>
      <c r="AW14" s="11" t="s">
        <v>85</v>
      </c>
      <c r="AX14" s="11" t="s">
        <v>85</v>
      </c>
      <c r="AY14" s="11" t="s">
        <v>85</v>
      </c>
      <c r="AZ14" s="11" t="s">
        <v>85</v>
      </c>
      <c r="BA14" s="11" t="s">
        <v>85</v>
      </c>
      <c r="BB14" s="11" t="s">
        <v>85</v>
      </c>
      <c r="BC14" s="11" t="s">
        <v>85</v>
      </c>
      <c r="BD14" s="11" t="s">
        <v>85</v>
      </c>
      <c r="BE14" s="11" t="s">
        <v>85</v>
      </c>
      <c r="BF14" s="11" t="s">
        <v>85</v>
      </c>
      <c r="BG14" s="11" t="s">
        <v>85</v>
      </c>
      <c r="BH14" s="11" t="s">
        <v>85</v>
      </c>
      <c r="BI14" s="11" t="s">
        <v>85</v>
      </c>
      <c r="BJ14" s="11" t="s">
        <v>85</v>
      </c>
    </row>
    <row r="15" ht="33.75" customHeight="1">
      <c r="A15" s="10" t="s">
        <v>92</v>
      </c>
      <c r="B15" s="11" t="s">
        <v>85</v>
      </c>
      <c r="C15" s="11" t="s">
        <v>85</v>
      </c>
      <c r="D15" s="11" t="s">
        <v>85</v>
      </c>
      <c r="E15" s="11" t="s">
        <v>85</v>
      </c>
      <c r="F15" s="11" t="s">
        <v>85</v>
      </c>
      <c r="G15" s="11" t="s">
        <v>85</v>
      </c>
      <c r="H15" s="11" t="s">
        <v>85</v>
      </c>
      <c r="I15" s="11" t="s">
        <v>85</v>
      </c>
      <c r="J15" s="11" t="s">
        <v>85</v>
      </c>
      <c r="K15" s="11" t="s">
        <v>85</v>
      </c>
      <c r="L15" s="11" t="s">
        <v>85</v>
      </c>
      <c r="M15" s="11" t="s">
        <v>87</v>
      </c>
      <c r="N15" s="11" t="s">
        <v>85</v>
      </c>
      <c r="O15" s="11" t="s">
        <v>85</v>
      </c>
      <c r="P15" s="11" t="s">
        <v>85</v>
      </c>
      <c r="Q15" s="11" t="s">
        <v>85</v>
      </c>
      <c r="R15" s="11" t="s">
        <v>85</v>
      </c>
      <c r="S15" s="11" t="s">
        <v>85</v>
      </c>
      <c r="T15" s="11" t="s">
        <v>85</v>
      </c>
      <c r="U15" s="11" t="s">
        <v>85</v>
      </c>
      <c r="V15" s="11" t="s">
        <v>85</v>
      </c>
      <c r="W15" s="11" t="s">
        <v>85</v>
      </c>
      <c r="X15" s="11" t="s">
        <v>85</v>
      </c>
      <c r="Y15" s="11" t="s">
        <v>85</v>
      </c>
      <c r="Z15" s="11" t="s">
        <v>85</v>
      </c>
      <c r="AA15" s="11" t="s">
        <v>85</v>
      </c>
      <c r="AB15" s="11" t="s">
        <v>85</v>
      </c>
      <c r="AC15" s="11" t="s">
        <v>85</v>
      </c>
      <c r="AD15" s="11" t="s">
        <v>85</v>
      </c>
      <c r="AE15" s="11" t="s">
        <v>85</v>
      </c>
      <c r="AF15" s="11" t="s">
        <v>85</v>
      </c>
      <c r="AG15" s="11" t="s">
        <v>85</v>
      </c>
      <c r="AH15" s="11" t="s">
        <v>85</v>
      </c>
      <c r="AI15" s="11" t="s">
        <v>85</v>
      </c>
      <c r="AJ15" s="11" t="s">
        <v>85</v>
      </c>
      <c r="AK15" s="11" t="s">
        <v>85</v>
      </c>
      <c r="AL15" s="11" t="s">
        <v>85</v>
      </c>
      <c r="AM15" s="11" t="s">
        <v>85</v>
      </c>
      <c r="AN15" s="11" t="s">
        <v>85</v>
      </c>
      <c r="AO15" s="11" t="s">
        <v>85</v>
      </c>
      <c r="AP15" s="11" t="s">
        <v>85</v>
      </c>
      <c r="AQ15" s="11" t="s">
        <v>85</v>
      </c>
      <c r="AR15" s="11" t="s">
        <v>85</v>
      </c>
      <c r="AS15" s="11" t="s">
        <v>85</v>
      </c>
      <c r="AT15" s="11" t="s">
        <v>85</v>
      </c>
      <c r="AU15" s="11" t="s">
        <v>85</v>
      </c>
      <c r="AV15" s="11" t="s">
        <v>85</v>
      </c>
      <c r="AW15" s="11" t="s">
        <v>85</v>
      </c>
      <c r="AX15" s="11" t="s">
        <v>85</v>
      </c>
      <c r="AY15" s="11" t="s">
        <v>85</v>
      </c>
      <c r="AZ15" s="11" t="s">
        <v>85</v>
      </c>
      <c r="BA15" s="11" t="s">
        <v>85</v>
      </c>
      <c r="BB15" s="11" t="s">
        <v>85</v>
      </c>
      <c r="BC15" s="11" t="s">
        <v>85</v>
      </c>
      <c r="BD15" s="11" t="s">
        <v>85</v>
      </c>
      <c r="BE15" s="11" t="s">
        <v>85</v>
      </c>
      <c r="BF15" s="11" t="s">
        <v>85</v>
      </c>
      <c r="BG15" s="11" t="s">
        <v>85</v>
      </c>
      <c r="BH15" s="11" t="s">
        <v>85</v>
      </c>
      <c r="BI15" s="11" t="s">
        <v>85</v>
      </c>
      <c r="BJ15" s="11" t="s">
        <v>85</v>
      </c>
    </row>
    <row r="16" ht="33.75" customHeight="1">
      <c r="A16" s="10" t="s">
        <v>93</v>
      </c>
      <c r="B16" s="11" t="s">
        <v>85</v>
      </c>
      <c r="C16" s="11" t="s">
        <v>85</v>
      </c>
      <c r="D16" s="11" t="s">
        <v>85</v>
      </c>
      <c r="E16" s="11" t="s">
        <v>87</v>
      </c>
      <c r="F16" s="11" t="s">
        <v>85</v>
      </c>
      <c r="G16" s="11" t="s">
        <v>85</v>
      </c>
      <c r="H16" s="11" t="s">
        <v>85</v>
      </c>
      <c r="I16" s="11" t="s">
        <v>85</v>
      </c>
      <c r="J16" s="11" t="s">
        <v>85</v>
      </c>
      <c r="K16" s="11" t="s">
        <v>85</v>
      </c>
      <c r="L16" s="11" t="s">
        <v>85</v>
      </c>
      <c r="M16" s="11" t="s">
        <v>85</v>
      </c>
      <c r="N16" s="11" t="s">
        <v>85</v>
      </c>
      <c r="O16" s="11" t="s">
        <v>85</v>
      </c>
      <c r="P16" s="11" t="s">
        <v>85</v>
      </c>
      <c r="Q16" s="11" t="s">
        <v>85</v>
      </c>
      <c r="R16" s="11" t="s">
        <v>85</v>
      </c>
      <c r="S16" s="11" t="s">
        <v>85</v>
      </c>
      <c r="T16" s="11" t="s">
        <v>85</v>
      </c>
      <c r="U16" s="11" t="s">
        <v>85</v>
      </c>
      <c r="V16" s="11" t="s">
        <v>85</v>
      </c>
      <c r="W16" s="11" t="s">
        <v>85</v>
      </c>
      <c r="X16" s="11" t="s">
        <v>85</v>
      </c>
      <c r="Y16" s="11" t="s">
        <v>85</v>
      </c>
      <c r="Z16" s="11" t="s">
        <v>85</v>
      </c>
      <c r="AA16" s="11" t="s">
        <v>85</v>
      </c>
      <c r="AB16" s="11" t="s">
        <v>85</v>
      </c>
      <c r="AC16" s="11" t="s">
        <v>85</v>
      </c>
      <c r="AD16" s="11" t="s">
        <v>85</v>
      </c>
      <c r="AE16" s="11" t="s">
        <v>85</v>
      </c>
      <c r="AF16" s="11" t="s">
        <v>85</v>
      </c>
      <c r="AG16" s="11" t="s">
        <v>85</v>
      </c>
      <c r="AH16" s="11" t="s">
        <v>85</v>
      </c>
      <c r="AI16" s="11" t="s">
        <v>85</v>
      </c>
      <c r="AJ16" s="11" t="s">
        <v>85</v>
      </c>
      <c r="AK16" s="11" t="s">
        <v>85</v>
      </c>
      <c r="AL16" s="11" t="s">
        <v>85</v>
      </c>
      <c r="AM16" s="11" t="s">
        <v>85</v>
      </c>
      <c r="AN16" s="11" t="s">
        <v>85</v>
      </c>
      <c r="AO16" s="11" t="s">
        <v>85</v>
      </c>
      <c r="AP16" s="11" t="s">
        <v>85</v>
      </c>
      <c r="AQ16" s="11" t="s">
        <v>85</v>
      </c>
      <c r="AR16" s="11" t="s">
        <v>85</v>
      </c>
      <c r="AS16" s="11" t="s">
        <v>85</v>
      </c>
      <c r="AT16" s="11" t="s">
        <v>85</v>
      </c>
      <c r="AU16" s="11" t="s">
        <v>85</v>
      </c>
      <c r="AV16" s="11" t="s">
        <v>85</v>
      </c>
      <c r="AW16" s="11" t="s">
        <v>85</v>
      </c>
      <c r="AX16" s="11" t="s">
        <v>85</v>
      </c>
      <c r="AY16" s="11" t="s">
        <v>85</v>
      </c>
      <c r="AZ16" s="11" t="s">
        <v>85</v>
      </c>
      <c r="BA16" s="11" t="s">
        <v>85</v>
      </c>
      <c r="BB16" s="11" t="s">
        <v>85</v>
      </c>
      <c r="BC16" s="11" t="s">
        <v>85</v>
      </c>
      <c r="BD16" s="11" t="s">
        <v>85</v>
      </c>
      <c r="BE16" s="11" t="s">
        <v>85</v>
      </c>
      <c r="BF16" s="11" t="s">
        <v>85</v>
      </c>
      <c r="BG16" s="11" t="s">
        <v>85</v>
      </c>
      <c r="BH16" s="11" t="s">
        <v>85</v>
      </c>
      <c r="BI16" s="11" t="s">
        <v>85</v>
      </c>
      <c r="BJ16" s="11" t="s">
        <v>85</v>
      </c>
    </row>
    <row r="17" ht="16.5" customHeight="1">
      <c r="A17" s="12" t="s">
        <v>94</v>
      </c>
      <c r="B17" s="12">
        <v>40.9</v>
      </c>
      <c r="C17" s="12">
        <v>40.3</v>
      </c>
      <c r="D17" s="12">
        <v>41.2</v>
      </c>
      <c r="E17" s="12">
        <v>40.7</v>
      </c>
      <c r="F17" s="12">
        <v>39.8</v>
      </c>
      <c r="G17" s="12">
        <v>41.5</v>
      </c>
      <c r="H17" s="12">
        <v>40.1</v>
      </c>
      <c r="I17" s="12">
        <v>40.9</v>
      </c>
      <c r="J17" s="12">
        <v>40.5</v>
      </c>
      <c r="K17" s="12">
        <v>41.0</v>
      </c>
      <c r="L17" s="12">
        <v>39.6</v>
      </c>
      <c r="M17" s="12">
        <v>40.4</v>
      </c>
      <c r="N17" s="12">
        <v>41.1</v>
      </c>
      <c r="O17" s="12">
        <v>40.8</v>
      </c>
      <c r="P17" s="12">
        <v>41.7</v>
      </c>
      <c r="Q17" s="12">
        <v>40.2</v>
      </c>
      <c r="R17" s="12">
        <v>40.6</v>
      </c>
      <c r="S17" s="12">
        <v>41.4</v>
      </c>
      <c r="T17" s="12">
        <v>40.0</v>
      </c>
      <c r="U17" s="12">
        <v>41.8</v>
      </c>
      <c r="V17" s="12">
        <v>40.5</v>
      </c>
      <c r="W17" s="12">
        <v>41.3</v>
      </c>
      <c r="X17" s="12">
        <v>40.7</v>
      </c>
      <c r="Y17" s="12">
        <v>46.8</v>
      </c>
      <c r="Z17" s="12">
        <v>40.4</v>
      </c>
      <c r="AA17" s="12">
        <v>41.0</v>
      </c>
      <c r="AB17" s="12">
        <v>40.2</v>
      </c>
      <c r="AC17" s="12">
        <v>40.5</v>
      </c>
      <c r="AD17" s="12">
        <v>41.4</v>
      </c>
      <c r="AE17" s="12">
        <v>41.2</v>
      </c>
      <c r="AF17" s="12">
        <v>40.3</v>
      </c>
      <c r="AG17" s="12">
        <v>41.5</v>
      </c>
      <c r="AH17" s="12">
        <v>41.6</v>
      </c>
      <c r="AI17" s="12">
        <v>40.1</v>
      </c>
      <c r="AJ17" s="12">
        <v>40.3</v>
      </c>
      <c r="AK17" s="12">
        <v>41.2</v>
      </c>
      <c r="AL17" s="12">
        <v>40.5</v>
      </c>
      <c r="AM17" s="12">
        <v>41.6</v>
      </c>
      <c r="AN17" s="12">
        <v>41.0</v>
      </c>
      <c r="AO17" s="12">
        <v>41.8</v>
      </c>
      <c r="AP17" s="12">
        <v>40.0</v>
      </c>
      <c r="AQ17" s="12">
        <v>40.8</v>
      </c>
      <c r="AR17" s="12">
        <v>45.3</v>
      </c>
      <c r="AS17" s="12">
        <v>40.4</v>
      </c>
      <c r="AT17" s="12">
        <v>42.1</v>
      </c>
      <c r="AU17" s="12">
        <v>40.6</v>
      </c>
      <c r="AV17" s="12">
        <v>41.1</v>
      </c>
      <c r="AW17" s="12">
        <v>40.3</v>
      </c>
      <c r="AX17" s="12">
        <v>40.9</v>
      </c>
      <c r="AY17" s="12">
        <v>41.8</v>
      </c>
      <c r="AZ17" s="12">
        <v>40.8</v>
      </c>
      <c r="BA17" s="12">
        <v>40.2</v>
      </c>
      <c r="BB17" s="12">
        <v>41.5</v>
      </c>
      <c r="BC17" s="12">
        <v>40.4</v>
      </c>
      <c r="BD17" s="12">
        <v>41.3</v>
      </c>
      <c r="BE17" s="12">
        <v>40.6</v>
      </c>
      <c r="BF17" s="12">
        <v>42.3</v>
      </c>
      <c r="BG17" s="12">
        <v>40.0</v>
      </c>
      <c r="BH17" s="12">
        <v>44.9</v>
      </c>
      <c r="BI17" s="12">
        <v>41.9</v>
      </c>
      <c r="BJ17" s="12">
        <v>41.0</v>
      </c>
    </row>
    <row r="18" ht="15.75" customHeight="1">
      <c r="A18" s="11" t="s">
        <v>95</v>
      </c>
      <c r="B18" s="11" t="s">
        <v>96</v>
      </c>
      <c r="C18" s="11" t="s">
        <v>96</v>
      </c>
      <c r="D18" s="11" t="s">
        <v>96</v>
      </c>
      <c r="E18" s="11" t="s">
        <v>97</v>
      </c>
      <c r="F18" s="11" t="s">
        <v>96</v>
      </c>
      <c r="G18" s="11" t="s">
        <v>96</v>
      </c>
      <c r="H18" s="11" t="s">
        <v>96</v>
      </c>
      <c r="I18" s="11" t="s">
        <v>96</v>
      </c>
      <c r="J18" s="11" t="s">
        <v>96</v>
      </c>
      <c r="K18" s="11" t="s">
        <v>98</v>
      </c>
      <c r="L18" s="11" t="s">
        <v>99</v>
      </c>
      <c r="M18" s="11" t="s">
        <v>100</v>
      </c>
      <c r="N18" s="11" t="s">
        <v>96</v>
      </c>
      <c r="O18" s="11" t="s">
        <v>96</v>
      </c>
      <c r="P18" s="11" t="s">
        <v>101</v>
      </c>
      <c r="Q18" s="11" t="s">
        <v>96</v>
      </c>
      <c r="R18" s="11" t="s">
        <v>96</v>
      </c>
      <c r="S18" s="11" t="s">
        <v>102</v>
      </c>
      <c r="T18" s="11" t="s">
        <v>96</v>
      </c>
      <c r="U18" s="11" t="s">
        <v>103</v>
      </c>
      <c r="V18" s="11" t="s">
        <v>96</v>
      </c>
      <c r="W18" s="11" t="s">
        <v>96</v>
      </c>
      <c r="X18" s="11" t="s">
        <v>96</v>
      </c>
      <c r="Y18" s="11" t="s">
        <v>104</v>
      </c>
      <c r="Z18" s="11" t="s">
        <v>96</v>
      </c>
      <c r="AA18" s="11" t="s">
        <v>96</v>
      </c>
      <c r="AB18" s="11" t="s">
        <v>96</v>
      </c>
      <c r="AC18" s="11" t="s">
        <v>96</v>
      </c>
      <c r="AD18" s="11" t="s">
        <v>105</v>
      </c>
      <c r="AE18" s="11" t="s">
        <v>96</v>
      </c>
      <c r="AF18" s="11" t="s">
        <v>96</v>
      </c>
      <c r="AG18" s="11" t="s">
        <v>96</v>
      </c>
      <c r="AH18" s="11" t="s">
        <v>106</v>
      </c>
      <c r="AI18" s="11" t="s">
        <v>96</v>
      </c>
      <c r="AJ18" s="11" t="s">
        <v>96</v>
      </c>
      <c r="AK18" s="11" t="s">
        <v>96</v>
      </c>
      <c r="AL18" s="11" t="s">
        <v>107</v>
      </c>
      <c r="AM18" s="11" t="s">
        <v>108</v>
      </c>
      <c r="AN18" s="11" t="s">
        <v>96</v>
      </c>
      <c r="AO18" s="11" t="s">
        <v>109</v>
      </c>
      <c r="AP18" s="11" t="s">
        <v>96</v>
      </c>
      <c r="AQ18" s="11" t="s">
        <v>96</v>
      </c>
      <c r="AR18" s="11" t="s">
        <v>110</v>
      </c>
      <c r="AS18" s="11" t="s">
        <v>96</v>
      </c>
      <c r="AT18" s="11" t="s">
        <v>111</v>
      </c>
      <c r="AU18" s="11" t="s">
        <v>96</v>
      </c>
      <c r="AV18" s="11" t="s">
        <v>112</v>
      </c>
      <c r="AW18" s="11" t="s">
        <v>96</v>
      </c>
      <c r="AX18" s="11" t="s">
        <v>96</v>
      </c>
      <c r="AY18" s="11" t="s">
        <v>113</v>
      </c>
      <c r="AZ18" s="11" t="s">
        <v>114</v>
      </c>
      <c r="BA18" s="11" t="s">
        <v>96</v>
      </c>
      <c r="BB18" s="11" t="s">
        <v>115</v>
      </c>
      <c r="BC18" s="11" t="s">
        <v>116</v>
      </c>
      <c r="BD18" s="11" t="s">
        <v>96</v>
      </c>
      <c r="BE18" s="11" t="s">
        <v>96</v>
      </c>
      <c r="BF18" s="11" t="s">
        <v>117</v>
      </c>
      <c r="BG18" s="11" t="s">
        <v>96</v>
      </c>
      <c r="BH18" s="11" t="s">
        <v>118</v>
      </c>
      <c r="BI18" s="11" t="s">
        <v>119</v>
      </c>
      <c r="BJ18" s="11" t="s">
        <v>120</v>
      </c>
    </row>
    <row r="19" ht="15.75" customHeight="1">
      <c r="A19" s="1" t="s">
        <v>121</v>
      </c>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ht="67.5" customHeight="1">
      <c r="A20" s="10" t="s">
        <v>122</v>
      </c>
      <c r="B20" s="13" t="s">
        <v>85</v>
      </c>
      <c r="C20" s="13" t="s">
        <v>85</v>
      </c>
      <c r="D20" s="13" t="s">
        <v>85</v>
      </c>
      <c r="E20" s="13" t="s">
        <v>85</v>
      </c>
      <c r="F20" s="13" t="s">
        <v>85</v>
      </c>
      <c r="G20" s="13" t="s">
        <v>85</v>
      </c>
      <c r="H20" s="13" t="s">
        <v>85</v>
      </c>
      <c r="I20" s="13" t="s">
        <v>85</v>
      </c>
      <c r="J20" s="13" t="s">
        <v>85</v>
      </c>
      <c r="K20" s="13" t="s">
        <v>85</v>
      </c>
      <c r="L20" s="13" t="s">
        <v>85</v>
      </c>
      <c r="M20" s="13" t="s">
        <v>85</v>
      </c>
      <c r="N20" s="13" t="s">
        <v>85</v>
      </c>
      <c r="O20" s="13" t="s">
        <v>85</v>
      </c>
      <c r="P20" s="13" t="s">
        <v>85</v>
      </c>
      <c r="Q20" s="13" t="s">
        <v>87</v>
      </c>
      <c r="R20" s="13" t="s">
        <v>85</v>
      </c>
      <c r="S20" s="13" t="s">
        <v>85</v>
      </c>
      <c r="T20" s="13" t="s">
        <v>85</v>
      </c>
      <c r="U20" s="13" t="s">
        <v>85</v>
      </c>
      <c r="V20" s="13" t="s">
        <v>85</v>
      </c>
      <c r="W20" s="13" t="s">
        <v>85</v>
      </c>
      <c r="X20" s="13" t="s">
        <v>85</v>
      </c>
      <c r="Y20" s="13" t="s">
        <v>85</v>
      </c>
      <c r="Z20" s="13" t="s">
        <v>85</v>
      </c>
      <c r="AA20" s="13" t="s">
        <v>87</v>
      </c>
      <c r="AB20" s="13" t="s">
        <v>85</v>
      </c>
      <c r="AC20" s="13" t="s">
        <v>85</v>
      </c>
      <c r="AD20" s="13" t="s">
        <v>85</v>
      </c>
      <c r="AE20" s="13" t="s">
        <v>85</v>
      </c>
      <c r="AF20" s="13" t="s">
        <v>85</v>
      </c>
      <c r="AG20" s="13" t="s">
        <v>85</v>
      </c>
      <c r="AH20" s="13" t="s">
        <v>85</v>
      </c>
      <c r="AI20" s="13" t="s">
        <v>85</v>
      </c>
      <c r="AJ20" s="13" t="s">
        <v>85</v>
      </c>
      <c r="AK20" s="13" t="s">
        <v>85</v>
      </c>
      <c r="AL20" s="13" t="s">
        <v>85</v>
      </c>
      <c r="AM20" s="13" t="s">
        <v>85</v>
      </c>
      <c r="AN20" s="13" t="s">
        <v>85</v>
      </c>
      <c r="AO20" s="13" t="s">
        <v>85</v>
      </c>
      <c r="AP20" s="13" t="s">
        <v>85</v>
      </c>
      <c r="AQ20" s="13" t="s">
        <v>85</v>
      </c>
      <c r="AR20" s="13" t="s">
        <v>85</v>
      </c>
      <c r="AS20" s="13" t="s">
        <v>85</v>
      </c>
      <c r="AT20" s="13" t="s">
        <v>85</v>
      </c>
      <c r="AU20" s="13" t="s">
        <v>85</v>
      </c>
      <c r="AV20" s="13" t="s">
        <v>85</v>
      </c>
      <c r="AW20" s="13" t="s">
        <v>85</v>
      </c>
      <c r="AX20" s="13" t="s">
        <v>85</v>
      </c>
      <c r="AY20" s="13" t="s">
        <v>85</v>
      </c>
      <c r="AZ20" s="13" t="s">
        <v>85</v>
      </c>
      <c r="BA20" s="13" t="s">
        <v>85</v>
      </c>
      <c r="BB20" s="13" t="s">
        <v>85</v>
      </c>
      <c r="BC20" s="13" t="s">
        <v>85</v>
      </c>
      <c r="BD20" s="13" t="s">
        <v>85</v>
      </c>
      <c r="BE20" s="13" t="s">
        <v>85</v>
      </c>
      <c r="BF20" s="13" t="s">
        <v>85</v>
      </c>
      <c r="BG20" s="13" t="s">
        <v>85</v>
      </c>
      <c r="BH20" s="13" t="s">
        <v>85</v>
      </c>
      <c r="BI20" s="13" t="s">
        <v>85</v>
      </c>
      <c r="BJ20" s="13" t="s">
        <v>85</v>
      </c>
    </row>
    <row r="21" ht="67.5" customHeight="1">
      <c r="A21" s="10" t="s">
        <v>123</v>
      </c>
      <c r="B21" s="13" t="s">
        <v>85</v>
      </c>
      <c r="C21" s="13" t="s">
        <v>85</v>
      </c>
      <c r="D21" s="13" t="s">
        <v>85</v>
      </c>
      <c r="E21" s="13" t="s">
        <v>85</v>
      </c>
      <c r="F21" s="13" t="s">
        <v>85</v>
      </c>
      <c r="G21" s="13" t="s">
        <v>85</v>
      </c>
      <c r="H21" s="13" t="s">
        <v>85</v>
      </c>
      <c r="I21" s="13" t="s">
        <v>85</v>
      </c>
      <c r="J21" s="13" t="s">
        <v>85</v>
      </c>
      <c r="K21" s="13" t="s">
        <v>85</v>
      </c>
      <c r="L21" s="13" t="s">
        <v>85</v>
      </c>
      <c r="M21" s="13" t="s">
        <v>85</v>
      </c>
      <c r="N21" s="13" t="s">
        <v>85</v>
      </c>
      <c r="O21" s="13" t="s">
        <v>85</v>
      </c>
      <c r="P21" s="13" t="s">
        <v>85</v>
      </c>
      <c r="Q21" s="13" t="s">
        <v>85</v>
      </c>
      <c r="R21" s="13" t="s">
        <v>85</v>
      </c>
      <c r="S21" s="13" t="s">
        <v>85</v>
      </c>
      <c r="T21" s="13" t="s">
        <v>85</v>
      </c>
      <c r="U21" s="13" t="s">
        <v>85</v>
      </c>
      <c r="V21" s="13" t="s">
        <v>85</v>
      </c>
      <c r="W21" s="13" t="s">
        <v>85</v>
      </c>
      <c r="X21" s="13" t="s">
        <v>85</v>
      </c>
      <c r="Y21" s="13" t="s">
        <v>85</v>
      </c>
      <c r="Z21" s="13" t="s">
        <v>85</v>
      </c>
      <c r="AA21" s="13" t="s">
        <v>85</v>
      </c>
      <c r="AB21" s="13" t="s">
        <v>85</v>
      </c>
      <c r="AC21" s="13" t="s">
        <v>85</v>
      </c>
      <c r="AD21" s="13" t="s">
        <v>85</v>
      </c>
      <c r="AE21" s="13" t="s">
        <v>85</v>
      </c>
      <c r="AF21" s="13" t="s">
        <v>85</v>
      </c>
      <c r="AG21" s="13" t="s">
        <v>85</v>
      </c>
      <c r="AH21" s="13" t="s">
        <v>85</v>
      </c>
      <c r="AI21" s="13" t="s">
        <v>85</v>
      </c>
      <c r="AJ21" s="13" t="s">
        <v>85</v>
      </c>
      <c r="AK21" s="13" t="s">
        <v>85</v>
      </c>
      <c r="AL21" s="13" t="s">
        <v>85</v>
      </c>
      <c r="AM21" s="13" t="s">
        <v>85</v>
      </c>
      <c r="AN21" s="13" t="s">
        <v>85</v>
      </c>
      <c r="AO21" s="13" t="s">
        <v>85</v>
      </c>
      <c r="AP21" s="13" t="s">
        <v>85</v>
      </c>
      <c r="AQ21" s="13" t="s">
        <v>85</v>
      </c>
      <c r="AR21" s="13" t="s">
        <v>85</v>
      </c>
      <c r="AS21" s="13" t="s">
        <v>85</v>
      </c>
      <c r="AT21" s="13" t="s">
        <v>87</v>
      </c>
      <c r="AU21" s="13" t="s">
        <v>85</v>
      </c>
      <c r="AV21" s="13" t="s">
        <v>85</v>
      </c>
      <c r="AW21" s="13" t="s">
        <v>85</v>
      </c>
      <c r="AX21" s="13" t="s">
        <v>85</v>
      </c>
      <c r="AY21" s="13" t="s">
        <v>85</v>
      </c>
      <c r="AZ21" s="13" t="s">
        <v>85</v>
      </c>
      <c r="BA21" s="13" t="s">
        <v>85</v>
      </c>
      <c r="BB21" s="13" t="s">
        <v>85</v>
      </c>
      <c r="BC21" s="13" t="s">
        <v>85</v>
      </c>
      <c r="BD21" s="13" t="s">
        <v>85</v>
      </c>
      <c r="BE21" s="13" t="s">
        <v>85</v>
      </c>
      <c r="BF21" s="13" t="s">
        <v>85</v>
      </c>
      <c r="BG21" s="13" t="s">
        <v>85</v>
      </c>
      <c r="BH21" s="13" t="s">
        <v>85</v>
      </c>
      <c r="BI21" s="13" t="s">
        <v>85</v>
      </c>
      <c r="BJ21" s="13" t="s">
        <v>85</v>
      </c>
    </row>
    <row r="22" ht="67.5" customHeight="1">
      <c r="A22" s="10" t="s">
        <v>124</v>
      </c>
      <c r="B22" s="13" t="s">
        <v>85</v>
      </c>
      <c r="C22" s="13" t="s">
        <v>85</v>
      </c>
      <c r="D22" s="13" t="s">
        <v>85</v>
      </c>
      <c r="E22" s="13" t="s">
        <v>85</v>
      </c>
      <c r="F22" s="13" t="s">
        <v>85</v>
      </c>
      <c r="G22" s="13" t="s">
        <v>87</v>
      </c>
      <c r="H22" s="13" t="s">
        <v>85</v>
      </c>
      <c r="I22" s="13" t="s">
        <v>85</v>
      </c>
      <c r="J22" s="13" t="s">
        <v>85</v>
      </c>
      <c r="K22" s="13" t="s">
        <v>85</v>
      </c>
      <c r="L22" s="13" t="s">
        <v>85</v>
      </c>
      <c r="M22" s="13" t="s">
        <v>85</v>
      </c>
      <c r="N22" s="13" t="s">
        <v>85</v>
      </c>
      <c r="O22" s="13" t="s">
        <v>85</v>
      </c>
      <c r="P22" s="13" t="s">
        <v>85</v>
      </c>
      <c r="Q22" s="13" t="s">
        <v>85</v>
      </c>
      <c r="R22" s="13" t="s">
        <v>85</v>
      </c>
      <c r="S22" s="13" t="s">
        <v>85</v>
      </c>
      <c r="T22" s="13" t="s">
        <v>85</v>
      </c>
      <c r="U22" s="13" t="s">
        <v>85</v>
      </c>
      <c r="V22" s="13" t="s">
        <v>85</v>
      </c>
      <c r="W22" s="13" t="s">
        <v>85</v>
      </c>
      <c r="X22" s="13" t="s">
        <v>85</v>
      </c>
      <c r="Y22" s="13" t="s">
        <v>85</v>
      </c>
      <c r="Z22" s="13" t="s">
        <v>85</v>
      </c>
      <c r="AA22" s="13" t="s">
        <v>85</v>
      </c>
      <c r="AB22" s="13" t="s">
        <v>85</v>
      </c>
      <c r="AC22" s="13" t="s">
        <v>85</v>
      </c>
      <c r="AD22" s="13" t="s">
        <v>85</v>
      </c>
      <c r="AE22" s="13" t="s">
        <v>85</v>
      </c>
      <c r="AF22" s="13" t="s">
        <v>85</v>
      </c>
      <c r="AG22" s="13" t="s">
        <v>85</v>
      </c>
      <c r="AH22" s="13" t="s">
        <v>85</v>
      </c>
      <c r="AI22" s="13" t="s">
        <v>85</v>
      </c>
      <c r="AJ22" s="13" t="s">
        <v>85</v>
      </c>
      <c r="AK22" s="13" t="s">
        <v>85</v>
      </c>
      <c r="AL22" s="13" t="s">
        <v>85</v>
      </c>
      <c r="AM22" s="13" t="s">
        <v>85</v>
      </c>
      <c r="AN22" s="13" t="s">
        <v>85</v>
      </c>
      <c r="AO22" s="13" t="s">
        <v>85</v>
      </c>
      <c r="AP22" s="13" t="s">
        <v>85</v>
      </c>
      <c r="AQ22" s="13" t="s">
        <v>85</v>
      </c>
      <c r="AR22" s="13" t="s">
        <v>85</v>
      </c>
      <c r="AS22" s="13" t="s">
        <v>85</v>
      </c>
      <c r="AT22" s="13" t="s">
        <v>85</v>
      </c>
      <c r="AU22" s="13" t="s">
        <v>85</v>
      </c>
      <c r="AV22" s="13" t="s">
        <v>85</v>
      </c>
      <c r="AW22" s="13" t="s">
        <v>85</v>
      </c>
      <c r="AX22" s="13" t="s">
        <v>85</v>
      </c>
      <c r="AY22" s="13" t="s">
        <v>85</v>
      </c>
      <c r="AZ22" s="13" t="s">
        <v>85</v>
      </c>
      <c r="BA22" s="13" t="s">
        <v>85</v>
      </c>
      <c r="BB22" s="13" t="s">
        <v>85</v>
      </c>
      <c r="BC22" s="13" t="s">
        <v>85</v>
      </c>
      <c r="BD22" s="13" t="s">
        <v>85</v>
      </c>
      <c r="BE22" s="13" t="s">
        <v>85</v>
      </c>
      <c r="BF22" s="13" t="s">
        <v>85</v>
      </c>
      <c r="BG22" s="13" t="s">
        <v>85</v>
      </c>
      <c r="BH22" s="13" t="s">
        <v>85</v>
      </c>
      <c r="BI22" s="13" t="s">
        <v>85</v>
      </c>
      <c r="BJ22" s="13" t="s">
        <v>85</v>
      </c>
    </row>
    <row r="23" ht="16.5" customHeight="1">
      <c r="A23" s="10" t="s">
        <v>125</v>
      </c>
      <c r="B23" s="10" t="s">
        <v>126</v>
      </c>
      <c r="C23" s="10" t="s">
        <v>126</v>
      </c>
      <c r="D23" s="10" t="s">
        <v>127</v>
      </c>
      <c r="E23" s="10" t="s">
        <v>126</v>
      </c>
      <c r="F23" s="10" t="s">
        <v>126</v>
      </c>
      <c r="G23" s="10" t="s">
        <v>127</v>
      </c>
      <c r="H23" s="10" t="s">
        <v>126</v>
      </c>
      <c r="I23" s="10" t="s">
        <v>126</v>
      </c>
      <c r="J23" s="10" t="s">
        <v>126</v>
      </c>
      <c r="K23" s="10" t="s">
        <v>127</v>
      </c>
      <c r="L23" s="10" t="s">
        <v>126</v>
      </c>
      <c r="M23" s="10" t="s">
        <v>126</v>
      </c>
      <c r="N23" s="10" t="s">
        <v>127</v>
      </c>
      <c r="O23" s="10" t="s">
        <v>126</v>
      </c>
      <c r="P23" s="10" t="s">
        <v>126</v>
      </c>
      <c r="Q23" s="10" t="s">
        <v>126</v>
      </c>
      <c r="R23" s="10" t="s">
        <v>126</v>
      </c>
      <c r="S23" s="10" t="s">
        <v>127</v>
      </c>
      <c r="T23" s="10" t="s">
        <v>126</v>
      </c>
      <c r="U23" s="10" t="s">
        <v>126</v>
      </c>
      <c r="V23" s="10" t="s">
        <v>126</v>
      </c>
      <c r="W23" s="10" t="s">
        <v>127</v>
      </c>
      <c r="X23" s="10" t="s">
        <v>126</v>
      </c>
      <c r="Y23" s="10" t="s">
        <v>126</v>
      </c>
      <c r="Z23" s="10" t="s">
        <v>126</v>
      </c>
      <c r="AA23" s="10" t="s">
        <v>126</v>
      </c>
      <c r="AB23" s="10" t="s">
        <v>126</v>
      </c>
      <c r="AC23" s="10" t="s">
        <v>126</v>
      </c>
      <c r="AD23" s="10" t="s">
        <v>127</v>
      </c>
      <c r="AE23" s="10" t="s">
        <v>126</v>
      </c>
      <c r="AF23" s="10" t="s">
        <v>126</v>
      </c>
      <c r="AG23" s="10" t="s">
        <v>127</v>
      </c>
      <c r="AH23" s="10" t="s">
        <v>126</v>
      </c>
      <c r="AI23" s="10" t="s">
        <v>126</v>
      </c>
      <c r="AJ23" s="10" t="s">
        <v>126</v>
      </c>
      <c r="AK23" s="10" t="s">
        <v>127</v>
      </c>
      <c r="AL23" s="10" t="s">
        <v>126</v>
      </c>
      <c r="AM23" s="10" t="s">
        <v>126</v>
      </c>
      <c r="AN23" s="10" t="s">
        <v>127</v>
      </c>
      <c r="AO23" s="10" t="s">
        <v>126</v>
      </c>
      <c r="AP23" s="10" t="s">
        <v>126</v>
      </c>
      <c r="AQ23" s="10" t="s">
        <v>126</v>
      </c>
      <c r="AR23" s="10" t="s">
        <v>127</v>
      </c>
      <c r="AS23" s="10" t="s">
        <v>126</v>
      </c>
      <c r="AT23" s="10" t="s">
        <v>126</v>
      </c>
      <c r="AU23" s="10" t="s">
        <v>126</v>
      </c>
      <c r="AV23" s="10" t="s">
        <v>127</v>
      </c>
      <c r="AW23" s="10" t="s">
        <v>126</v>
      </c>
      <c r="AX23" s="10" t="s">
        <v>126</v>
      </c>
      <c r="AY23" s="10" t="s">
        <v>126</v>
      </c>
      <c r="AZ23" s="10" t="s">
        <v>127</v>
      </c>
      <c r="BA23" s="10" t="s">
        <v>126</v>
      </c>
      <c r="BB23" s="10" t="s">
        <v>126</v>
      </c>
      <c r="BC23" s="10" t="s">
        <v>126</v>
      </c>
      <c r="BD23" s="10" t="s">
        <v>127</v>
      </c>
      <c r="BE23" s="10" t="s">
        <v>126</v>
      </c>
      <c r="BF23" s="10" t="s">
        <v>126</v>
      </c>
      <c r="BG23" s="10" t="s">
        <v>126</v>
      </c>
      <c r="BH23" s="10" t="s">
        <v>127</v>
      </c>
      <c r="BI23" s="10" t="s">
        <v>126</v>
      </c>
      <c r="BJ23" s="10" t="s">
        <v>127</v>
      </c>
    </row>
    <row r="24" ht="15.75" customHeight="1">
      <c r="A24" s="11" t="s">
        <v>95</v>
      </c>
      <c r="B24" s="11" t="s">
        <v>96</v>
      </c>
      <c r="C24" s="11" t="s">
        <v>96</v>
      </c>
      <c r="D24" s="11" t="s">
        <v>96</v>
      </c>
      <c r="E24" s="11" t="s">
        <v>96</v>
      </c>
      <c r="F24" s="11" t="s">
        <v>96</v>
      </c>
      <c r="G24" s="11" t="s">
        <v>128</v>
      </c>
      <c r="H24" s="11" t="s">
        <v>96</v>
      </c>
      <c r="I24" s="11" t="s">
        <v>96</v>
      </c>
      <c r="J24" s="11" t="s">
        <v>96</v>
      </c>
      <c r="K24" s="11" t="s">
        <v>96</v>
      </c>
      <c r="L24" s="11" t="s">
        <v>96</v>
      </c>
      <c r="M24" s="11" t="s">
        <v>96</v>
      </c>
      <c r="N24" s="11" t="s">
        <v>96</v>
      </c>
      <c r="O24" s="11" t="s">
        <v>96</v>
      </c>
      <c r="P24" s="11" t="s">
        <v>96</v>
      </c>
      <c r="Q24" s="11" t="s">
        <v>129</v>
      </c>
      <c r="R24" s="11" t="s">
        <v>96</v>
      </c>
      <c r="S24" s="11" t="s">
        <v>96</v>
      </c>
      <c r="T24" s="11" t="s">
        <v>96</v>
      </c>
      <c r="U24" s="11" t="s">
        <v>96</v>
      </c>
      <c r="V24" s="11" t="s">
        <v>96</v>
      </c>
      <c r="W24" s="11" t="s">
        <v>96</v>
      </c>
      <c r="X24" s="11" t="s">
        <v>96</v>
      </c>
      <c r="Y24" s="11" t="s">
        <v>96</v>
      </c>
      <c r="Z24" s="11" t="s">
        <v>96</v>
      </c>
      <c r="AA24" s="11" t="s">
        <v>130</v>
      </c>
      <c r="AB24" s="11" t="s">
        <v>96</v>
      </c>
      <c r="AC24" s="11" t="s">
        <v>96</v>
      </c>
      <c r="AD24" s="11" t="s">
        <v>96</v>
      </c>
      <c r="AE24" s="11" t="s">
        <v>96</v>
      </c>
      <c r="AF24" s="11" t="s">
        <v>96</v>
      </c>
      <c r="AG24" s="11" t="s">
        <v>96</v>
      </c>
      <c r="AH24" s="11" t="s">
        <v>96</v>
      </c>
      <c r="AI24" s="11" t="s">
        <v>96</v>
      </c>
      <c r="AJ24" s="11" t="s">
        <v>96</v>
      </c>
      <c r="AK24" s="11" t="s">
        <v>96</v>
      </c>
      <c r="AL24" s="11" t="s">
        <v>96</v>
      </c>
      <c r="AM24" s="11" t="s">
        <v>96</v>
      </c>
      <c r="AN24" s="11" t="s">
        <v>96</v>
      </c>
      <c r="AO24" s="11" t="s">
        <v>96</v>
      </c>
      <c r="AP24" s="11" t="s">
        <v>96</v>
      </c>
      <c r="AQ24" s="11" t="s">
        <v>96</v>
      </c>
      <c r="AR24" s="11" t="s">
        <v>96</v>
      </c>
      <c r="AS24" s="11" t="s">
        <v>96</v>
      </c>
      <c r="AT24" s="11" t="s">
        <v>131</v>
      </c>
      <c r="AU24" s="11" t="s">
        <v>96</v>
      </c>
      <c r="AV24" s="11" t="s">
        <v>96</v>
      </c>
      <c r="AW24" s="11" t="s">
        <v>96</v>
      </c>
      <c r="AX24" s="11" t="s">
        <v>96</v>
      </c>
      <c r="AY24" s="11" t="s">
        <v>96</v>
      </c>
      <c r="AZ24" s="11" t="s">
        <v>96</v>
      </c>
      <c r="BA24" s="11" t="s">
        <v>96</v>
      </c>
      <c r="BB24" s="11" t="s">
        <v>96</v>
      </c>
      <c r="BC24" s="11" t="s">
        <v>96</v>
      </c>
      <c r="BD24" s="11" t="s">
        <v>96</v>
      </c>
      <c r="BE24" s="11" t="s">
        <v>96</v>
      </c>
      <c r="BF24" s="11" t="s">
        <v>96</v>
      </c>
      <c r="BG24" s="11" t="s">
        <v>96</v>
      </c>
      <c r="BH24" s="11" t="s">
        <v>96</v>
      </c>
      <c r="BI24" s="11" t="s">
        <v>96</v>
      </c>
      <c r="BJ24" s="11" t="s">
        <v>96</v>
      </c>
    </row>
    <row r="25" ht="15.75" customHeight="1">
      <c r="A25" s="1" t="s">
        <v>132</v>
      </c>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ht="16.5" customHeight="1">
      <c r="A26" s="10" t="s">
        <v>133</v>
      </c>
      <c r="B26" s="11">
        <v>10.0</v>
      </c>
      <c r="C26" s="11">
        <v>20.0</v>
      </c>
      <c r="D26" s="11">
        <v>16.0</v>
      </c>
      <c r="E26" s="11">
        <v>18.0</v>
      </c>
      <c r="F26" s="11">
        <v>22.0</v>
      </c>
      <c r="G26" s="11">
        <v>14.0</v>
      </c>
      <c r="H26" s="11">
        <v>20.0</v>
      </c>
      <c r="I26" s="11">
        <v>12.0</v>
      </c>
      <c r="J26" s="11">
        <v>24.0</v>
      </c>
      <c r="K26" s="11">
        <v>9.0</v>
      </c>
      <c r="L26" s="11">
        <v>18.0</v>
      </c>
      <c r="M26" s="11">
        <v>16.0</v>
      </c>
      <c r="N26" s="11">
        <v>20.0</v>
      </c>
      <c r="O26" s="11">
        <v>11.0</v>
      </c>
      <c r="P26" s="11">
        <v>15.0</v>
      </c>
      <c r="Q26" s="11">
        <v>22.0</v>
      </c>
      <c r="R26" s="11">
        <v>25.0</v>
      </c>
      <c r="S26" s="11">
        <v>17.0</v>
      </c>
      <c r="T26" s="11">
        <v>19.0</v>
      </c>
      <c r="U26" s="11">
        <v>10.0</v>
      </c>
      <c r="V26" s="11">
        <v>21.0</v>
      </c>
      <c r="W26" s="11">
        <v>13.0</v>
      </c>
      <c r="X26" s="11">
        <v>18.0</v>
      </c>
      <c r="Y26" s="11">
        <v>18.0</v>
      </c>
      <c r="Z26" s="11">
        <v>23.0</v>
      </c>
      <c r="AA26" s="11">
        <v>16.0</v>
      </c>
      <c r="AB26" s="11">
        <v>15.0</v>
      </c>
      <c r="AC26" s="11">
        <v>28.0</v>
      </c>
      <c r="AD26" s="11">
        <v>14.0</v>
      </c>
      <c r="AE26" s="11">
        <v>12.0</v>
      </c>
      <c r="AF26" s="11">
        <v>20.0</v>
      </c>
      <c r="AG26" s="11">
        <v>15.0</v>
      </c>
      <c r="AH26" s="11">
        <v>13.0</v>
      </c>
      <c r="AI26" s="11">
        <v>24.0</v>
      </c>
      <c r="AJ26" s="11">
        <v>30.0</v>
      </c>
      <c r="AK26" s="11">
        <v>14.0</v>
      </c>
      <c r="AL26" s="11">
        <v>11.0</v>
      </c>
      <c r="AM26" s="11">
        <v>17.0</v>
      </c>
      <c r="AN26" s="11">
        <v>16.0</v>
      </c>
      <c r="AO26" s="11">
        <v>14.0</v>
      </c>
      <c r="AP26" s="11">
        <v>22.0</v>
      </c>
      <c r="AQ26" s="11">
        <v>10.0</v>
      </c>
      <c r="AR26" s="11">
        <v>15.0</v>
      </c>
      <c r="AS26" s="11">
        <v>19.0</v>
      </c>
      <c r="AT26" s="11">
        <v>12.0</v>
      </c>
      <c r="AU26" s="11">
        <v>21.0</v>
      </c>
      <c r="AV26" s="11">
        <v>9.0</v>
      </c>
      <c r="AW26" s="11">
        <v>20.0</v>
      </c>
      <c r="AX26" s="11">
        <v>32.0</v>
      </c>
      <c r="AY26" s="11">
        <v>11.0</v>
      </c>
      <c r="AZ26" s="11">
        <v>18.0</v>
      </c>
      <c r="BA26" s="11">
        <v>25.0</v>
      </c>
      <c r="BB26" s="11">
        <v>16.0</v>
      </c>
      <c r="BC26" s="11">
        <v>23.0</v>
      </c>
      <c r="BD26" s="11">
        <v>12.0</v>
      </c>
      <c r="BE26" s="11">
        <v>24.0</v>
      </c>
      <c r="BF26" s="11">
        <v>10.0</v>
      </c>
      <c r="BG26" s="11">
        <v>19.0</v>
      </c>
      <c r="BH26" s="11">
        <v>14.0</v>
      </c>
      <c r="BI26" s="11">
        <v>21.0</v>
      </c>
      <c r="BJ26" s="11">
        <v>15.0</v>
      </c>
    </row>
    <row r="27" ht="16.5" customHeight="1">
      <c r="A27" s="10" t="s">
        <v>134</v>
      </c>
      <c r="B27" s="11">
        <v>65.0</v>
      </c>
      <c r="C27" s="11">
        <v>65.0</v>
      </c>
      <c r="D27" s="11">
        <v>60.0</v>
      </c>
      <c r="E27" s="11">
        <v>64.0</v>
      </c>
      <c r="F27" s="11">
        <v>65.0</v>
      </c>
      <c r="G27" s="11">
        <v>55.0</v>
      </c>
      <c r="H27" s="11">
        <v>66.0</v>
      </c>
      <c r="I27" s="11">
        <v>60.0</v>
      </c>
      <c r="J27" s="11">
        <v>65.0</v>
      </c>
      <c r="K27" s="11">
        <v>58.0</v>
      </c>
      <c r="L27" s="11">
        <v>65.0</v>
      </c>
      <c r="M27" s="11">
        <v>64.0</v>
      </c>
      <c r="N27" s="11">
        <v>60.0</v>
      </c>
      <c r="O27" s="11">
        <v>62.0</v>
      </c>
      <c r="P27" s="11">
        <v>65.0</v>
      </c>
      <c r="Q27" s="11">
        <v>65.0</v>
      </c>
      <c r="R27" s="11">
        <v>66.0</v>
      </c>
      <c r="S27" s="11">
        <v>60.0</v>
      </c>
      <c r="T27" s="11">
        <v>65.0</v>
      </c>
      <c r="U27" s="11">
        <v>60.0</v>
      </c>
      <c r="V27" s="11">
        <v>65.0</v>
      </c>
      <c r="W27" s="11">
        <v>58.0</v>
      </c>
      <c r="X27" s="11">
        <v>65.0</v>
      </c>
      <c r="Y27" s="11">
        <v>62.0</v>
      </c>
      <c r="Z27" s="11">
        <v>65.0</v>
      </c>
      <c r="AA27" s="11">
        <v>60.0</v>
      </c>
      <c r="AB27" s="11">
        <v>64.0</v>
      </c>
      <c r="AC27" s="11">
        <v>68.0</v>
      </c>
      <c r="AD27" s="11">
        <v>58.0</v>
      </c>
      <c r="AE27" s="11">
        <v>60.0</v>
      </c>
      <c r="AF27" s="11">
        <v>65.0</v>
      </c>
      <c r="AG27" s="11">
        <v>60.0</v>
      </c>
      <c r="AH27" s="11">
        <v>62.0</v>
      </c>
      <c r="AI27" s="11">
        <v>66.0</v>
      </c>
      <c r="AJ27" s="11">
        <v>70.0</v>
      </c>
      <c r="AK27" s="11">
        <v>58.0</v>
      </c>
      <c r="AL27" s="11">
        <v>65.0</v>
      </c>
      <c r="AM27" s="11">
        <v>64.0</v>
      </c>
      <c r="AN27" s="11">
        <v>60.0</v>
      </c>
      <c r="AO27" s="11">
        <v>60.0</v>
      </c>
      <c r="AP27" s="11">
        <v>65.0</v>
      </c>
      <c r="AQ27" s="11">
        <v>60.0</v>
      </c>
      <c r="AR27" s="11">
        <v>58.0</v>
      </c>
      <c r="AS27" s="11">
        <v>65.0</v>
      </c>
      <c r="AT27" s="11">
        <v>62.0</v>
      </c>
      <c r="AU27" s="11">
        <v>66.0</v>
      </c>
      <c r="AV27" s="11">
        <v>58.0</v>
      </c>
      <c r="AW27" s="11">
        <v>65.0</v>
      </c>
      <c r="AX27" s="11">
        <v>70.0</v>
      </c>
      <c r="AY27" s="11">
        <v>60.0</v>
      </c>
      <c r="AZ27" s="11">
        <v>60.0</v>
      </c>
      <c r="BA27" s="11">
        <v>66.0</v>
      </c>
      <c r="BB27" s="11">
        <v>60.0</v>
      </c>
      <c r="BC27" s="11">
        <v>65.0</v>
      </c>
      <c r="BD27" s="11">
        <v>58.0</v>
      </c>
      <c r="BE27" s="11">
        <v>65.0</v>
      </c>
      <c r="BF27" s="11">
        <v>60.0</v>
      </c>
      <c r="BG27" s="11">
        <v>65.0</v>
      </c>
      <c r="BH27" s="11">
        <v>58.0</v>
      </c>
      <c r="BI27" s="11">
        <v>66.0</v>
      </c>
      <c r="BJ27" s="11">
        <v>60.0</v>
      </c>
    </row>
    <row r="28" ht="16.5" customHeight="1">
      <c r="A28" s="10" t="s">
        <v>135</v>
      </c>
      <c r="B28" s="11">
        <v>650.0</v>
      </c>
      <c r="C28" s="11">
        <f t="shared" ref="C28:BJ28" si="1">C26*C27</f>
        <v>1300</v>
      </c>
      <c r="D28" s="11">
        <f t="shared" si="1"/>
        <v>960</v>
      </c>
      <c r="E28" s="11">
        <f t="shared" si="1"/>
        <v>1152</v>
      </c>
      <c r="F28" s="11">
        <f t="shared" si="1"/>
        <v>1430</v>
      </c>
      <c r="G28" s="11">
        <f t="shared" si="1"/>
        <v>770</v>
      </c>
      <c r="H28" s="11">
        <f t="shared" si="1"/>
        <v>1320</v>
      </c>
      <c r="I28" s="11">
        <f t="shared" si="1"/>
        <v>720</v>
      </c>
      <c r="J28" s="11">
        <f t="shared" si="1"/>
        <v>1560</v>
      </c>
      <c r="K28" s="11">
        <f t="shared" si="1"/>
        <v>522</v>
      </c>
      <c r="L28" s="11">
        <f t="shared" si="1"/>
        <v>1170</v>
      </c>
      <c r="M28" s="11">
        <f t="shared" si="1"/>
        <v>1024</v>
      </c>
      <c r="N28" s="11">
        <f t="shared" si="1"/>
        <v>1200</v>
      </c>
      <c r="O28" s="11">
        <f t="shared" si="1"/>
        <v>682</v>
      </c>
      <c r="P28" s="11">
        <f t="shared" si="1"/>
        <v>975</v>
      </c>
      <c r="Q28" s="11">
        <f t="shared" si="1"/>
        <v>1430</v>
      </c>
      <c r="R28" s="11">
        <f t="shared" si="1"/>
        <v>1650</v>
      </c>
      <c r="S28" s="11">
        <f t="shared" si="1"/>
        <v>1020</v>
      </c>
      <c r="T28" s="11">
        <f t="shared" si="1"/>
        <v>1235</v>
      </c>
      <c r="U28" s="11">
        <f t="shared" si="1"/>
        <v>600</v>
      </c>
      <c r="V28" s="11">
        <f t="shared" si="1"/>
        <v>1365</v>
      </c>
      <c r="W28" s="11">
        <f t="shared" si="1"/>
        <v>754</v>
      </c>
      <c r="X28" s="11">
        <f t="shared" si="1"/>
        <v>1170</v>
      </c>
      <c r="Y28" s="11">
        <f t="shared" si="1"/>
        <v>1116</v>
      </c>
      <c r="Z28" s="11">
        <f t="shared" si="1"/>
        <v>1495</v>
      </c>
      <c r="AA28" s="11">
        <f t="shared" si="1"/>
        <v>960</v>
      </c>
      <c r="AB28" s="11">
        <f t="shared" si="1"/>
        <v>960</v>
      </c>
      <c r="AC28" s="11">
        <f t="shared" si="1"/>
        <v>1904</v>
      </c>
      <c r="AD28" s="11">
        <f t="shared" si="1"/>
        <v>812</v>
      </c>
      <c r="AE28" s="11">
        <f t="shared" si="1"/>
        <v>720</v>
      </c>
      <c r="AF28" s="11">
        <f t="shared" si="1"/>
        <v>1300</v>
      </c>
      <c r="AG28" s="11">
        <f t="shared" si="1"/>
        <v>900</v>
      </c>
      <c r="AH28" s="11">
        <f t="shared" si="1"/>
        <v>806</v>
      </c>
      <c r="AI28" s="11">
        <f t="shared" si="1"/>
        <v>1584</v>
      </c>
      <c r="AJ28" s="11">
        <f t="shared" si="1"/>
        <v>2100</v>
      </c>
      <c r="AK28" s="11">
        <f t="shared" si="1"/>
        <v>812</v>
      </c>
      <c r="AL28" s="11">
        <f t="shared" si="1"/>
        <v>715</v>
      </c>
      <c r="AM28" s="11">
        <f t="shared" si="1"/>
        <v>1088</v>
      </c>
      <c r="AN28" s="11">
        <f t="shared" si="1"/>
        <v>960</v>
      </c>
      <c r="AO28" s="11">
        <f t="shared" si="1"/>
        <v>840</v>
      </c>
      <c r="AP28" s="11">
        <f t="shared" si="1"/>
        <v>1430</v>
      </c>
      <c r="AQ28" s="11">
        <f t="shared" si="1"/>
        <v>600</v>
      </c>
      <c r="AR28" s="11">
        <f t="shared" si="1"/>
        <v>870</v>
      </c>
      <c r="AS28" s="11">
        <f t="shared" si="1"/>
        <v>1235</v>
      </c>
      <c r="AT28" s="11">
        <f t="shared" si="1"/>
        <v>744</v>
      </c>
      <c r="AU28" s="11">
        <f t="shared" si="1"/>
        <v>1386</v>
      </c>
      <c r="AV28" s="11">
        <f t="shared" si="1"/>
        <v>522</v>
      </c>
      <c r="AW28" s="11">
        <f t="shared" si="1"/>
        <v>1300</v>
      </c>
      <c r="AX28" s="11">
        <f t="shared" si="1"/>
        <v>2240</v>
      </c>
      <c r="AY28" s="11">
        <f t="shared" si="1"/>
        <v>660</v>
      </c>
      <c r="AZ28" s="11">
        <f t="shared" si="1"/>
        <v>1080</v>
      </c>
      <c r="BA28" s="11">
        <f t="shared" si="1"/>
        <v>1650</v>
      </c>
      <c r="BB28" s="11">
        <f t="shared" si="1"/>
        <v>960</v>
      </c>
      <c r="BC28" s="11">
        <f t="shared" si="1"/>
        <v>1495</v>
      </c>
      <c r="BD28" s="11">
        <f t="shared" si="1"/>
        <v>696</v>
      </c>
      <c r="BE28" s="11">
        <f t="shared" si="1"/>
        <v>1560</v>
      </c>
      <c r="BF28" s="11">
        <f t="shared" si="1"/>
        <v>600</v>
      </c>
      <c r="BG28" s="11">
        <f t="shared" si="1"/>
        <v>1235</v>
      </c>
      <c r="BH28" s="11">
        <f t="shared" si="1"/>
        <v>812</v>
      </c>
      <c r="BI28" s="11">
        <f t="shared" si="1"/>
        <v>1386</v>
      </c>
      <c r="BJ28" s="11">
        <f t="shared" si="1"/>
        <v>900</v>
      </c>
    </row>
    <row r="29" ht="16.5" customHeight="1">
      <c r="A29" s="10" t="s">
        <v>136</v>
      </c>
      <c r="B29" s="14">
        <v>7.0</v>
      </c>
      <c r="C29" s="14">
        <v>20.0</v>
      </c>
      <c r="D29" s="14">
        <v>16.0</v>
      </c>
      <c r="E29" s="14">
        <v>18.0</v>
      </c>
      <c r="F29" s="14">
        <v>22.0</v>
      </c>
      <c r="G29" s="14">
        <v>14.0</v>
      </c>
      <c r="H29" s="14">
        <v>20.0</v>
      </c>
      <c r="I29" s="14">
        <v>12.0</v>
      </c>
      <c r="J29" s="14">
        <v>24.0</v>
      </c>
      <c r="K29" s="14">
        <v>10.0</v>
      </c>
      <c r="L29" s="14">
        <v>18.0</v>
      </c>
      <c r="M29" s="14">
        <v>16.0</v>
      </c>
      <c r="N29" s="14">
        <v>20.0</v>
      </c>
      <c r="O29" s="14">
        <v>11.0</v>
      </c>
      <c r="P29" s="14">
        <v>15.0</v>
      </c>
      <c r="Q29" s="14">
        <v>22.0</v>
      </c>
      <c r="R29" s="14">
        <v>25.0</v>
      </c>
      <c r="S29" s="14">
        <v>17.0</v>
      </c>
      <c r="T29" s="14">
        <v>19.0</v>
      </c>
      <c r="U29" s="14">
        <v>10.0</v>
      </c>
      <c r="V29" s="14">
        <v>21.0</v>
      </c>
      <c r="W29" s="14">
        <v>13.0</v>
      </c>
      <c r="X29" s="14">
        <v>18.0</v>
      </c>
      <c r="Y29" s="14">
        <v>18.0</v>
      </c>
      <c r="Z29" s="14">
        <v>23.0</v>
      </c>
      <c r="AA29" s="14">
        <v>16.0</v>
      </c>
      <c r="AB29" s="14">
        <v>15.0</v>
      </c>
      <c r="AC29" s="14">
        <v>28.0</v>
      </c>
      <c r="AD29" s="14">
        <v>50.0</v>
      </c>
      <c r="AE29" s="14">
        <v>12.0</v>
      </c>
      <c r="AF29" s="14">
        <v>20.0</v>
      </c>
      <c r="AG29" s="14">
        <v>15.0</v>
      </c>
      <c r="AH29" s="14">
        <v>13.0</v>
      </c>
      <c r="AI29" s="14">
        <v>24.0</v>
      </c>
      <c r="AJ29" s="14">
        <v>30.0</v>
      </c>
      <c r="AK29" s="14">
        <v>14.0</v>
      </c>
      <c r="AL29" s="14">
        <v>10.0</v>
      </c>
      <c r="AM29" s="14">
        <v>17.0</v>
      </c>
      <c r="AN29" s="14">
        <v>16.0</v>
      </c>
      <c r="AO29" s="14">
        <v>14.0</v>
      </c>
      <c r="AP29" s="14">
        <v>22.0</v>
      </c>
      <c r="AQ29" s="14">
        <v>10.0</v>
      </c>
      <c r="AR29" s="14">
        <v>15.0</v>
      </c>
      <c r="AS29" s="14">
        <v>19.0</v>
      </c>
      <c r="AT29" s="14">
        <v>12.0</v>
      </c>
      <c r="AU29" s="14">
        <v>21.0</v>
      </c>
      <c r="AV29" s="14">
        <v>10.0</v>
      </c>
      <c r="AW29" s="14">
        <v>20.0</v>
      </c>
      <c r="AX29" s="14">
        <v>32.0</v>
      </c>
      <c r="AY29" s="14">
        <v>11.0</v>
      </c>
      <c r="AZ29" s="14">
        <v>100.0</v>
      </c>
      <c r="BA29" s="14">
        <v>25.0</v>
      </c>
      <c r="BB29" s="14">
        <v>16.0</v>
      </c>
      <c r="BC29" s="14">
        <v>23.0</v>
      </c>
      <c r="BD29" s="14">
        <v>12.0</v>
      </c>
      <c r="BE29" s="14">
        <v>24.0</v>
      </c>
      <c r="BF29" s="14">
        <v>10.0</v>
      </c>
      <c r="BG29" s="14">
        <v>19.0</v>
      </c>
      <c r="BH29" s="14">
        <v>14.0</v>
      </c>
      <c r="BI29" s="14">
        <v>21.0</v>
      </c>
      <c r="BJ29" s="14">
        <v>50.0</v>
      </c>
    </row>
    <row r="30" ht="16.5" customHeight="1">
      <c r="A30" s="10" t="s">
        <v>137</v>
      </c>
      <c r="B30" s="11">
        <v>7.0</v>
      </c>
      <c r="C30" s="11">
        <v>20.0</v>
      </c>
      <c r="D30" s="11">
        <v>16.0</v>
      </c>
      <c r="E30" s="11">
        <v>18.0</v>
      </c>
      <c r="F30" s="11">
        <v>22.0</v>
      </c>
      <c r="G30" s="11">
        <v>14.0</v>
      </c>
      <c r="H30" s="11">
        <v>20.0</v>
      </c>
      <c r="I30" s="11">
        <v>12.0</v>
      </c>
      <c r="J30" s="11">
        <v>24.0</v>
      </c>
      <c r="K30" s="11">
        <v>9.0</v>
      </c>
      <c r="L30" s="11">
        <v>18.0</v>
      </c>
      <c r="M30" s="11">
        <v>16.0</v>
      </c>
      <c r="N30" s="11">
        <v>20.0</v>
      </c>
      <c r="O30" s="11">
        <v>11.0</v>
      </c>
      <c r="P30" s="11">
        <v>15.0</v>
      </c>
      <c r="Q30" s="11">
        <v>22.0</v>
      </c>
      <c r="R30" s="11">
        <v>25.0</v>
      </c>
      <c r="S30" s="11">
        <v>17.0</v>
      </c>
      <c r="T30" s="11">
        <v>19.0</v>
      </c>
      <c r="U30" s="11">
        <v>10.0</v>
      </c>
      <c r="V30" s="11">
        <v>21.0</v>
      </c>
      <c r="W30" s="11">
        <v>13.0</v>
      </c>
      <c r="X30" s="11">
        <v>18.0</v>
      </c>
      <c r="Y30" s="11">
        <v>18.0</v>
      </c>
      <c r="Z30" s="11">
        <v>23.0</v>
      </c>
      <c r="AA30" s="11">
        <v>16.0</v>
      </c>
      <c r="AB30" s="11">
        <v>15.0</v>
      </c>
      <c r="AC30" s="11">
        <v>28.0</v>
      </c>
      <c r="AD30" s="11">
        <v>49.0</v>
      </c>
      <c r="AE30" s="11">
        <v>12.0</v>
      </c>
      <c r="AF30" s="11">
        <v>20.0</v>
      </c>
      <c r="AG30" s="11">
        <v>15.0</v>
      </c>
      <c r="AH30" s="11">
        <v>13.0</v>
      </c>
      <c r="AI30" s="11">
        <v>24.0</v>
      </c>
      <c r="AJ30" s="11">
        <v>30.0</v>
      </c>
      <c r="AK30" s="11">
        <v>14.0</v>
      </c>
      <c r="AL30" s="11">
        <v>11.0</v>
      </c>
      <c r="AM30" s="11">
        <v>17.0</v>
      </c>
      <c r="AN30" s="11">
        <v>16.0</v>
      </c>
      <c r="AO30" s="11">
        <v>14.0</v>
      </c>
      <c r="AP30" s="11">
        <v>22.0</v>
      </c>
      <c r="AQ30" s="11">
        <v>10.0</v>
      </c>
      <c r="AR30" s="11">
        <v>15.0</v>
      </c>
      <c r="AS30" s="11">
        <v>19.0</v>
      </c>
      <c r="AT30" s="11">
        <v>12.0</v>
      </c>
      <c r="AU30" s="11">
        <v>21.0</v>
      </c>
      <c r="AV30" s="11">
        <v>9.0</v>
      </c>
      <c r="AW30" s="11">
        <v>20.0</v>
      </c>
      <c r="AX30" s="11">
        <v>32.0</v>
      </c>
      <c r="AY30" s="11">
        <v>11.0</v>
      </c>
      <c r="AZ30" s="11">
        <v>99.0</v>
      </c>
      <c r="BA30" s="11">
        <v>25.0</v>
      </c>
      <c r="BB30" s="11">
        <v>16.0</v>
      </c>
      <c r="BC30" s="11">
        <v>23.0</v>
      </c>
      <c r="BD30" s="11">
        <v>12.0</v>
      </c>
      <c r="BE30" s="11">
        <v>24.0</v>
      </c>
      <c r="BF30" s="11">
        <v>10.0</v>
      </c>
      <c r="BG30" s="11">
        <v>19.0</v>
      </c>
      <c r="BH30" s="11">
        <v>14.0</v>
      </c>
      <c r="BI30" s="11">
        <v>21.0</v>
      </c>
      <c r="BJ30" s="11">
        <v>49.0</v>
      </c>
    </row>
    <row r="31" ht="16.5" customHeight="1">
      <c r="A31" s="10" t="s">
        <v>138</v>
      </c>
      <c r="B31" s="15">
        <f>(((B29*B28)-(B30*B28))/(B29*B28))</f>
        <v>0</v>
      </c>
      <c r="C31" s="15">
        <f t="shared" ref="C31:BJ31" si="2">((C29*C28-C30*C28)/(C29*C28))</f>
        <v>0</v>
      </c>
      <c r="D31" s="15">
        <f t="shared" si="2"/>
        <v>0</v>
      </c>
      <c r="E31" s="15">
        <f t="shared" si="2"/>
        <v>0</v>
      </c>
      <c r="F31" s="15">
        <f t="shared" si="2"/>
        <v>0</v>
      </c>
      <c r="G31" s="15">
        <f t="shared" si="2"/>
        <v>0</v>
      </c>
      <c r="H31" s="15">
        <f t="shared" si="2"/>
        <v>0</v>
      </c>
      <c r="I31" s="15">
        <f t="shared" si="2"/>
        <v>0</v>
      </c>
      <c r="J31" s="15">
        <f t="shared" si="2"/>
        <v>0</v>
      </c>
      <c r="K31" s="15">
        <f t="shared" si="2"/>
        <v>0.1</v>
      </c>
      <c r="L31" s="15">
        <f t="shared" si="2"/>
        <v>0</v>
      </c>
      <c r="M31" s="15">
        <f t="shared" si="2"/>
        <v>0</v>
      </c>
      <c r="N31" s="15">
        <f t="shared" si="2"/>
        <v>0</v>
      </c>
      <c r="O31" s="15">
        <f t="shared" si="2"/>
        <v>0</v>
      </c>
      <c r="P31" s="15">
        <f t="shared" si="2"/>
        <v>0</v>
      </c>
      <c r="Q31" s="15">
        <f t="shared" si="2"/>
        <v>0</v>
      </c>
      <c r="R31" s="15">
        <f t="shared" si="2"/>
        <v>0</v>
      </c>
      <c r="S31" s="15">
        <f t="shared" si="2"/>
        <v>0</v>
      </c>
      <c r="T31" s="15">
        <f t="shared" si="2"/>
        <v>0</v>
      </c>
      <c r="U31" s="15">
        <f t="shared" si="2"/>
        <v>0</v>
      </c>
      <c r="V31" s="15">
        <f t="shared" si="2"/>
        <v>0</v>
      </c>
      <c r="W31" s="15">
        <f t="shared" si="2"/>
        <v>0</v>
      </c>
      <c r="X31" s="15">
        <f t="shared" si="2"/>
        <v>0</v>
      </c>
      <c r="Y31" s="15">
        <f t="shared" si="2"/>
        <v>0</v>
      </c>
      <c r="Z31" s="15">
        <f t="shared" si="2"/>
        <v>0</v>
      </c>
      <c r="AA31" s="15">
        <f t="shared" si="2"/>
        <v>0</v>
      </c>
      <c r="AB31" s="15">
        <f t="shared" si="2"/>
        <v>0</v>
      </c>
      <c r="AC31" s="15">
        <f t="shared" si="2"/>
        <v>0</v>
      </c>
      <c r="AD31" s="15">
        <f t="shared" si="2"/>
        <v>0.02</v>
      </c>
      <c r="AE31" s="15">
        <f t="shared" si="2"/>
        <v>0</v>
      </c>
      <c r="AF31" s="15">
        <f t="shared" si="2"/>
        <v>0</v>
      </c>
      <c r="AG31" s="15">
        <f t="shared" si="2"/>
        <v>0</v>
      </c>
      <c r="AH31" s="15">
        <f t="shared" si="2"/>
        <v>0</v>
      </c>
      <c r="AI31" s="15">
        <f t="shared" si="2"/>
        <v>0</v>
      </c>
      <c r="AJ31" s="15">
        <f t="shared" si="2"/>
        <v>0</v>
      </c>
      <c r="AK31" s="15">
        <f t="shared" si="2"/>
        <v>0</v>
      </c>
      <c r="AL31" s="15">
        <f t="shared" si="2"/>
        <v>-0.1</v>
      </c>
      <c r="AM31" s="15">
        <f t="shared" si="2"/>
        <v>0</v>
      </c>
      <c r="AN31" s="15">
        <f t="shared" si="2"/>
        <v>0</v>
      </c>
      <c r="AO31" s="15">
        <f t="shared" si="2"/>
        <v>0</v>
      </c>
      <c r="AP31" s="15">
        <f t="shared" si="2"/>
        <v>0</v>
      </c>
      <c r="AQ31" s="15">
        <f t="shared" si="2"/>
        <v>0</v>
      </c>
      <c r="AR31" s="15">
        <f t="shared" si="2"/>
        <v>0</v>
      </c>
      <c r="AS31" s="15">
        <f t="shared" si="2"/>
        <v>0</v>
      </c>
      <c r="AT31" s="15">
        <f t="shared" si="2"/>
        <v>0</v>
      </c>
      <c r="AU31" s="15">
        <f t="shared" si="2"/>
        <v>0</v>
      </c>
      <c r="AV31" s="15">
        <f t="shared" si="2"/>
        <v>0.1</v>
      </c>
      <c r="AW31" s="15">
        <f t="shared" si="2"/>
        <v>0</v>
      </c>
      <c r="AX31" s="15">
        <f t="shared" si="2"/>
        <v>0</v>
      </c>
      <c r="AY31" s="15">
        <f t="shared" si="2"/>
        <v>0</v>
      </c>
      <c r="AZ31" s="15">
        <f t="shared" si="2"/>
        <v>0.01</v>
      </c>
      <c r="BA31" s="15">
        <f t="shared" si="2"/>
        <v>0</v>
      </c>
      <c r="BB31" s="15">
        <f t="shared" si="2"/>
        <v>0</v>
      </c>
      <c r="BC31" s="15">
        <f t="shared" si="2"/>
        <v>0</v>
      </c>
      <c r="BD31" s="15">
        <f t="shared" si="2"/>
        <v>0</v>
      </c>
      <c r="BE31" s="15">
        <f t="shared" si="2"/>
        <v>0</v>
      </c>
      <c r="BF31" s="15">
        <f t="shared" si="2"/>
        <v>0</v>
      </c>
      <c r="BG31" s="15">
        <f t="shared" si="2"/>
        <v>0</v>
      </c>
      <c r="BH31" s="15">
        <f t="shared" si="2"/>
        <v>0</v>
      </c>
      <c r="BI31" s="15">
        <f t="shared" si="2"/>
        <v>0</v>
      </c>
      <c r="BJ31" s="15">
        <f t="shared" si="2"/>
        <v>0.02</v>
      </c>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row>
    <row r="34" ht="15.75" customHeight="1">
      <c r="A34" s="17" t="s">
        <v>139</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row>
    <row r="35" ht="15.75" customHeight="1">
      <c r="A35" s="16" t="s">
        <v>140</v>
      </c>
      <c r="B35" s="18" t="s">
        <v>96</v>
      </c>
      <c r="C35" s="18">
        <v>46075.0</v>
      </c>
      <c r="D35" s="18" t="s">
        <v>96</v>
      </c>
      <c r="E35" s="18">
        <v>46076.0</v>
      </c>
      <c r="F35" s="18">
        <v>46077.0</v>
      </c>
      <c r="G35" s="18">
        <v>46077.0</v>
      </c>
      <c r="H35" s="18">
        <v>46078.0</v>
      </c>
      <c r="I35" s="18" t="s">
        <v>96</v>
      </c>
      <c r="J35" s="18">
        <v>46081.0</v>
      </c>
      <c r="K35" s="18">
        <v>46082.0</v>
      </c>
      <c r="L35" s="18">
        <v>46082.0</v>
      </c>
      <c r="M35" s="18" t="s">
        <v>96</v>
      </c>
      <c r="N35" s="18">
        <v>46084.0</v>
      </c>
      <c r="O35" s="18" t="s">
        <v>96</v>
      </c>
      <c r="P35" s="18">
        <v>46086.0</v>
      </c>
      <c r="Q35" s="18">
        <v>46087.0</v>
      </c>
      <c r="R35" s="18">
        <v>46088.0</v>
      </c>
      <c r="S35" s="18" t="s">
        <v>96</v>
      </c>
      <c r="T35" s="18">
        <v>46091.0</v>
      </c>
      <c r="U35" s="18">
        <v>46090.0</v>
      </c>
      <c r="V35" s="18">
        <v>46094.0</v>
      </c>
      <c r="W35" s="18" t="s">
        <v>96</v>
      </c>
      <c r="X35" s="18">
        <v>46095.0</v>
      </c>
      <c r="Y35" s="18">
        <v>46095.0</v>
      </c>
      <c r="Z35" s="18">
        <v>46096.0</v>
      </c>
      <c r="AA35" s="18">
        <v>46097.0</v>
      </c>
      <c r="AB35" s="18" t="s">
        <v>96</v>
      </c>
      <c r="AC35" s="18">
        <v>46101.0</v>
      </c>
      <c r="AD35" s="18">
        <v>46099.0</v>
      </c>
      <c r="AE35" s="18" t="s">
        <v>96</v>
      </c>
      <c r="AF35" s="18">
        <v>46103.0</v>
      </c>
      <c r="AG35" s="18" t="s">
        <v>96</v>
      </c>
      <c r="AH35" s="18">
        <v>46104.0</v>
      </c>
      <c r="AI35" s="18">
        <v>46108.0</v>
      </c>
      <c r="AJ35" s="18">
        <v>46109.0</v>
      </c>
      <c r="AK35" s="18" t="s">
        <v>96</v>
      </c>
      <c r="AL35" s="18">
        <v>46110.0</v>
      </c>
      <c r="AM35" s="18">
        <v>46108.0</v>
      </c>
      <c r="AN35" s="18">
        <v>46114.0</v>
      </c>
      <c r="AO35" s="18">
        <v>46112.0</v>
      </c>
      <c r="AP35" s="18">
        <v>46116.0</v>
      </c>
      <c r="AQ35" s="18" t="s">
        <v>96</v>
      </c>
      <c r="AR35" s="18">
        <v>46117.0</v>
      </c>
      <c r="AS35" s="18">
        <v>46117.0</v>
      </c>
      <c r="AT35" s="18">
        <v>46114.0</v>
      </c>
      <c r="AU35" s="18">
        <v>46118.0</v>
      </c>
      <c r="AV35" s="18">
        <v>46121.0</v>
      </c>
      <c r="AW35" s="18">
        <v>46122.0</v>
      </c>
      <c r="AX35" s="18">
        <v>46122.0</v>
      </c>
      <c r="AY35" s="18">
        <v>46118.0</v>
      </c>
      <c r="AZ35" s="18">
        <v>46123.0</v>
      </c>
      <c r="BA35" s="18">
        <v>46123.0</v>
      </c>
      <c r="BB35" s="18">
        <v>46121.0</v>
      </c>
      <c r="BC35" s="18">
        <v>46124.0</v>
      </c>
      <c r="BD35" s="18" t="s">
        <v>96</v>
      </c>
      <c r="BE35" s="18">
        <v>46125.0</v>
      </c>
      <c r="BF35" s="18">
        <v>46121.0</v>
      </c>
      <c r="BG35" s="18">
        <v>46126.0</v>
      </c>
      <c r="BH35" s="18">
        <v>46126.0</v>
      </c>
      <c r="BI35" s="18">
        <v>46123.0</v>
      </c>
      <c r="BJ35" s="18">
        <v>46127.0</v>
      </c>
    </row>
    <row r="36" ht="15.75" customHeight="1">
      <c r="A36" s="16" t="s">
        <v>141</v>
      </c>
      <c r="B36" s="19" t="s">
        <v>142</v>
      </c>
      <c r="C36" s="19" t="s">
        <v>143</v>
      </c>
      <c r="D36" s="19" t="s">
        <v>143</v>
      </c>
      <c r="E36" s="19" t="s">
        <v>144</v>
      </c>
      <c r="F36" s="19" t="s">
        <v>143</v>
      </c>
      <c r="G36" s="19" t="s">
        <v>144</v>
      </c>
      <c r="H36" s="19" t="s">
        <v>143</v>
      </c>
      <c r="I36" s="19" t="s">
        <v>143</v>
      </c>
      <c r="J36" s="19" t="s">
        <v>143</v>
      </c>
      <c r="K36" s="19" t="s">
        <v>144</v>
      </c>
      <c r="L36" s="19" t="s">
        <v>144</v>
      </c>
      <c r="M36" s="19" t="s">
        <v>144</v>
      </c>
      <c r="N36" s="19" t="s">
        <v>143</v>
      </c>
      <c r="O36" s="19" t="s">
        <v>143</v>
      </c>
      <c r="P36" s="19" t="s">
        <v>142</v>
      </c>
      <c r="Q36" s="19" t="s">
        <v>144</v>
      </c>
      <c r="R36" s="19" t="s">
        <v>143</v>
      </c>
      <c r="S36" s="19" t="s">
        <v>144</v>
      </c>
      <c r="T36" s="19" t="s">
        <v>143</v>
      </c>
      <c r="U36" s="19" t="s">
        <v>142</v>
      </c>
      <c r="V36" s="19" t="s">
        <v>143</v>
      </c>
      <c r="W36" s="19" t="s">
        <v>144</v>
      </c>
      <c r="X36" s="19" t="s">
        <v>143</v>
      </c>
      <c r="Y36" s="19" t="s">
        <v>142</v>
      </c>
      <c r="Z36" s="19" t="s">
        <v>143</v>
      </c>
      <c r="AA36" s="19" t="s">
        <v>144</v>
      </c>
      <c r="AB36" s="19" t="s">
        <v>143</v>
      </c>
      <c r="AC36" s="19" t="s">
        <v>143</v>
      </c>
      <c r="AD36" s="19" t="s">
        <v>142</v>
      </c>
      <c r="AE36" s="19" t="s">
        <v>144</v>
      </c>
      <c r="AF36" s="19" t="s">
        <v>143</v>
      </c>
      <c r="AG36" s="19" t="s">
        <v>143</v>
      </c>
      <c r="AH36" s="19" t="s">
        <v>142</v>
      </c>
      <c r="AI36" s="19" t="s">
        <v>143</v>
      </c>
      <c r="AJ36" s="19" t="s">
        <v>143</v>
      </c>
      <c r="AK36" s="19" t="s">
        <v>144</v>
      </c>
      <c r="AL36" s="19" t="s">
        <v>143</v>
      </c>
      <c r="AM36" s="19" t="s">
        <v>142</v>
      </c>
      <c r="AN36" s="19" t="s">
        <v>143</v>
      </c>
      <c r="AO36" s="19" t="s">
        <v>142</v>
      </c>
      <c r="AP36" s="19" t="s">
        <v>143</v>
      </c>
      <c r="AQ36" s="19" t="s">
        <v>143</v>
      </c>
      <c r="AR36" s="19" t="s">
        <v>144</v>
      </c>
      <c r="AS36" s="19" t="s">
        <v>143</v>
      </c>
      <c r="AT36" s="19" t="s">
        <v>142</v>
      </c>
      <c r="AU36" s="19" t="s">
        <v>143</v>
      </c>
      <c r="AV36" s="19" t="s">
        <v>144</v>
      </c>
      <c r="AW36" s="19" t="s">
        <v>143</v>
      </c>
      <c r="AX36" s="19" t="s">
        <v>144</v>
      </c>
      <c r="AY36" s="19" t="s">
        <v>142</v>
      </c>
      <c r="AZ36" s="19" t="s">
        <v>143</v>
      </c>
      <c r="BA36" s="19" t="s">
        <v>143</v>
      </c>
      <c r="BB36" s="19" t="s">
        <v>142</v>
      </c>
      <c r="BC36" s="19" t="s">
        <v>144</v>
      </c>
      <c r="BD36" s="19" t="s">
        <v>144</v>
      </c>
      <c r="BE36" s="19" t="s">
        <v>143</v>
      </c>
      <c r="BF36" s="19" t="s">
        <v>142</v>
      </c>
      <c r="BG36" s="19" t="s">
        <v>143</v>
      </c>
      <c r="BH36" s="19" t="s">
        <v>144</v>
      </c>
      <c r="BI36" s="19" t="s">
        <v>142</v>
      </c>
      <c r="BJ36" s="19" t="s">
        <v>143</v>
      </c>
    </row>
    <row r="37" ht="15.75" customHeight="1">
      <c r="A37" s="16" t="s">
        <v>145</v>
      </c>
      <c r="B37" s="20" t="s">
        <v>146</v>
      </c>
      <c r="C37" s="20" t="s">
        <v>147</v>
      </c>
      <c r="D37" s="20" t="s">
        <v>148</v>
      </c>
      <c r="E37" s="20" t="s">
        <v>149</v>
      </c>
      <c r="F37" s="20" t="s">
        <v>150</v>
      </c>
      <c r="G37" s="20" t="s">
        <v>151</v>
      </c>
      <c r="H37" s="20" t="s">
        <v>152</v>
      </c>
      <c r="I37" s="20" t="s">
        <v>153</v>
      </c>
      <c r="J37" s="20" t="s">
        <v>154</v>
      </c>
      <c r="K37" s="20" t="s">
        <v>155</v>
      </c>
      <c r="L37" s="20" t="s">
        <v>156</v>
      </c>
      <c r="M37" s="20" t="s">
        <v>154</v>
      </c>
      <c r="N37" s="20" t="s">
        <v>148</v>
      </c>
      <c r="O37" s="20" t="s">
        <v>157</v>
      </c>
      <c r="P37" s="20" t="s">
        <v>158</v>
      </c>
      <c r="Q37" s="20" t="s">
        <v>159</v>
      </c>
      <c r="R37" s="20" t="s">
        <v>149</v>
      </c>
      <c r="S37" s="20" t="s">
        <v>160</v>
      </c>
      <c r="T37" s="20" t="s">
        <v>161</v>
      </c>
      <c r="U37" s="20" t="s">
        <v>162</v>
      </c>
      <c r="V37" s="20" t="s">
        <v>147</v>
      </c>
      <c r="W37" s="20" t="s">
        <v>163</v>
      </c>
      <c r="X37" s="20" t="s">
        <v>157</v>
      </c>
      <c r="Y37" s="20" t="s">
        <v>164</v>
      </c>
      <c r="Z37" s="20" t="s">
        <v>147</v>
      </c>
      <c r="AA37" s="20" t="s">
        <v>155</v>
      </c>
      <c r="AB37" s="20" t="s">
        <v>165</v>
      </c>
      <c r="AC37" s="20" t="s">
        <v>154</v>
      </c>
      <c r="AD37" s="20" t="s">
        <v>166</v>
      </c>
      <c r="AE37" s="20" t="s">
        <v>167</v>
      </c>
      <c r="AF37" s="20" t="s">
        <v>159</v>
      </c>
      <c r="AG37" s="20" t="s">
        <v>151</v>
      </c>
      <c r="AH37" s="20" t="s">
        <v>168</v>
      </c>
      <c r="AI37" s="20" t="s">
        <v>152</v>
      </c>
      <c r="AJ37" s="20" t="s">
        <v>147</v>
      </c>
      <c r="AK37" s="20" t="s">
        <v>167</v>
      </c>
      <c r="AL37" s="20" t="s">
        <v>154</v>
      </c>
      <c r="AM37" s="20" t="s">
        <v>158</v>
      </c>
      <c r="AN37" s="20" t="s">
        <v>169</v>
      </c>
      <c r="AO37" s="20" t="s">
        <v>158</v>
      </c>
      <c r="AP37" s="20" t="s">
        <v>161</v>
      </c>
      <c r="AQ37" s="20" t="s">
        <v>153</v>
      </c>
      <c r="AR37" s="20" t="s">
        <v>170</v>
      </c>
      <c r="AS37" s="20" t="s">
        <v>147</v>
      </c>
      <c r="AT37" s="20" t="s">
        <v>171</v>
      </c>
      <c r="AU37" s="20" t="s">
        <v>149</v>
      </c>
      <c r="AV37" s="20" t="s">
        <v>148</v>
      </c>
      <c r="AW37" s="20" t="s">
        <v>159</v>
      </c>
      <c r="AX37" s="20" t="s">
        <v>155</v>
      </c>
      <c r="AY37" s="20" t="s">
        <v>172</v>
      </c>
      <c r="AZ37" s="20" t="s">
        <v>153</v>
      </c>
      <c r="BA37" s="20" t="s">
        <v>165</v>
      </c>
      <c r="BB37" s="20" t="s">
        <v>173</v>
      </c>
      <c r="BC37" s="20" t="s">
        <v>147</v>
      </c>
      <c r="BD37" s="20" t="s">
        <v>163</v>
      </c>
      <c r="BE37" s="20" t="s">
        <v>149</v>
      </c>
      <c r="BF37" s="20" t="s">
        <v>174</v>
      </c>
      <c r="BG37" s="20" t="s">
        <v>161</v>
      </c>
      <c r="BH37" s="20" t="s">
        <v>175</v>
      </c>
      <c r="BI37" s="20" t="s">
        <v>172</v>
      </c>
      <c r="BJ37" s="20" t="s">
        <v>169</v>
      </c>
    </row>
    <row r="38" ht="15.75" customHeight="1">
      <c r="A38" s="16" t="s">
        <v>176</v>
      </c>
      <c r="B38" s="20" t="s">
        <v>177</v>
      </c>
      <c r="C38" s="20" t="s">
        <v>177</v>
      </c>
      <c r="D38" s="20" t="s">
        <v>177</v>
      </c>
      <c r="E38" s="20" t="s">
        <v>177</v>
      </c>
      <c r="F38" s="20" t="s">
        <v>177</v>
      </c>
      <c r="G38" s="20" t="s">
        <v>177</v>
      </c>
      <c r="H38" s="20" t="s">
        <v>177</v>
      </c>
      <c r="I38" s="20" t="s">
        <v>177</v>
      </c>
      <c r="J38" s="20" t="s">
        <v>177</v>
      </c>
      <c r="K38" s="20" t="s">
        <v>177</v>
      </c>
      <c r="L38" s="20" t="s">
        <v>177</v>
      </c>
      <c r="M38" s="20" t="s">
        <v>177</v>
      </c>
      <c r="N38" s="20" t="s">
        <v>177</v>
      </c>
      <c r="O38" s="20" t="s">
        <v>177</v>
      </c>
      <c r="P38" s="20" t="s">
        <v>177</v>
      </c>
      <c r="Q38" s="20" t="s">
        <v>177</v>
      </c>
      <c r="R38" s="20" t="s">
        <v>177</v>
      </c>
      <c r="S38" s="20" t="s">
        <v>177</v>
      </c>
      <c r="T38" s="20" t="s">
        <v>177</v>
      </c>
      <c r="U38" s="20" t="s">
        <v>177</v>
      </c>
      <c r="V38" s="20" t="s">
        <v>177</v>
      </c>
      <c r="W38" s="20" t="s">
        <v>177</v>
      </c>
      <c r="X38" s="20" t="s">
        <v>177</v>
      </c>
      <c r="Y38" s="20" t="s">
        <v>177</v>
      </c>
      <c r="Z38" s="20" t="s">
        <v>177</v>
      </c>
      <c r="AA38" s="20" t="s">
        <v>177</v>
      </c>
      <c r="AB38" s="20" t="s">
        <v>177</v>
      </c>
      <c r="AC38" s="20" t="s">
        <v>177</v>
      </c>
      <c r="AD38" s="20" t="s">
        <v>177</v>
      </c>
      <c r="AE38" s="20" t="s">
        <v>177</v>
      </c>
      <c r="AF38" s="20" t="s">
        <v>177</v>
      </c>
      <c r="AG38" s="20" t="s">
        <v>177</v>
      </c>
      <c r="AH38" s="20" t="s">
        <v>177</v>
      </c>
      <c r="AI38" s="20" t="s">
        <v>177</v>
      </c>
      <c r="AJ38" s="20" t="s">
        <v>177</v>
      </c>
      <c r="AK38" s="20" t="s">
        <v>177</v>
      </c>
      <c r="AL38" s="20" t="s">
        <v>177</v>
      </c>
      <c r="AM38" s="20" t="s">
        <v>177</v>
      </c>
      <c r="AN38" s="20" t="s">
        <v>177</v>
      </c>
      <c r="AO38" s="20" t="s">
        <v>177</v>
      </c>
      <c r="AP38" s="20" t="s">
        <v>177</v>
      </c>
      <c r="AQ38" s="20" t="s">
        <v>177</v>
      </c>
      <c r="AR38" s="20" t="s">
        <v>177</v>
      </c>
      <c r="AS38" s="20" t="s">
        <v>177</v>
      </c>
      <c r="AT38" s="20" t="s">
        <v>177</v>
      </c>
      <c r="AU38" s="20" t="s">
        <v>177</v>
      </c>
      <c r="AV38" s="20" t="s">
        <v>177</v>
      </c>
      <c r="AW38" s="20" t="s">
        <v>177</v>
      </c>
      <c r="AX38" s="20" t="s">
        <v>177</v>
      </c>
      <c r="AY38" s="20" t="s">
        <v>177</v>
      </c>
      <c r="AZ38" s="20" t="s">
        <v>177</v>
      </c>
      <c r="BA38" s="20" t="s">
        <v>177</v>
      </c>
      <c r="BB38" s="20" t="s">
        <v>177</v>
      </c>
      <c r="BC38" s="20" t="s">
        <v>177</v>
      </c>
      <c r="BD38" s="20" t="s">
        <v>177</v>
      </c>
      <c r="BE38" s="20" t="s">
        <v>177</v>
      </c>
      <c r="BF38" s="20" t="s">
        <v>177</v>
      </c>
      <c r="BG38" s="20" t="s">
        <v>177</v>
      </c>
      <c r="BH38" s="20" t="s">
        <v>177</v>
      </c>
      <c r="BI38" s="20" t="s">
        <v>177</v>
      </c>
      <c r="BJ38" s="20" t="s">
        <v>177</v>
      </c>
    </row>
    <row r="39" ht="15.75" customHeight="1">
      <c r="A39" s="16" t="s">
        <v>178</v>
      </c>
      <c r="B39" s="21">
        <v>11.2</v>
      </c>
      <c r="C39" s="21">
        <v>12.3</v>
      </c>
      <c r="D39" s="21">
        <v>11.9</v>
      </c>
      <c r="E39" s="21">
        <v>12.1</v>
      </c>
      <c r="F39" s="21">
        <v>12.6</v>
      </c>
      <c r="G39" s="21">
        <v>11.7</v>
      </c>
      <c r="H39" s="21">
        <v>12.4</v>
      </c>
      <c r="I39" s="21">
        <v>12.0</v>
      </c>
      <c r="J39" s="21">
        <v>12.5</v>
      </c>
      <c r="K39" s="21">
        <v>11.6</v>
      </c>
      <c r="L39" s="21">
        <v>12.7</v>
      </c>
      <c r="M39" s="21">
        <v>11.8</v>
      </c>
      <c r="N39" s="21">
        <v>11.9</v>
      </c>
      <c r="O39" s="21">
        <v>12.1</v>
      </c>
      <c r="P39" s="21">
        <v>10.7</v>
      </c>
      <c r="Q39" s="21">
        <v>12.4</v>
      </c>
      <c r="R39" s="21">
        <v>12.3</v>
      </c>
      <c r="S39" s="21">
        <v>11.8</v>
      </c>
      <c r="T39" s="21">
        <v>12.5</v>
      </c>
      <c r="U39" s="21">
        <v>10.4</v>
      </c>
      <c r="V39" s="21">
        <v>12.2</v>
      </c>
      <c r="W39" s="21">
        <v>11.3</v>
      </c>
      <c r="X39" s="21">
        <v>12.4</v>
      </c>
      <c r="Y39" s="21">
        <v>10.6</v>
      </c>
      <c r="Z39" s="21">
        <v>12.6</v>
      </c>
      <c r="AA39" s="21">
        <v>11.9</v>
      </c>
      <c r="AB39" s="21">
        <v>12.3</v>
      </c>
      <c r="AC39" s="21">
        <v>12.5</v>
      </c>
      <c r="AD39" s="21">
        <v>10.6</v>
      </c>
      <c r="AE39" s="21">
        <v>11.2</v>
      </c>
      <c r="AF39" s="21">
        <v>12.6</v>
      </c>
      <c r="AG39" s="21">
        <v>11.4</v>
      </c>
      <c r="AH39" s="21">
        <v>10.8</v>
      </c>
      <c r="AI39" s="21">
        <v>12.4</v>
      </c>
      <c r="AJ39" s="21">
        <v>12.5</v>
      </c>
      <c r="AK39" s="21">
        <v>11.2</v>
      </c>
      <c r="AL39" s="21">
        <v>12.2</v>
      </c>
      <c r="AM39" s="21">
        <v>10.5</v>
      </c>
      <c r="AN39" s="21">
        <v>12.0</v>
      </c>
      <c r="AO39" s="21">
        <v>10.5</v>
      </c>
      <c r="AP39" s="21">
        <v>12.6</v>
      </c>
      <c r="AQ39" s="21">
        <v>12.1</v>
      </c>
      <c r="AR39" s="21">
        <v>11.8</v>
      </c>
      <c r="AS39" s="21">
        <v>12.4</v>
      </c>
      <c r="AT39" s="21">
        <v>10.6</v>
      </c>
      <c r="AU39" s="21">
        <v>12.3</v>
      </c>
      <c r="AV39" s="21">
        <v>11.7</v>
      </c>
      <c r="AW39" s="21">
        <v>12.5</v>
      </c>
      <c r="AX39" s="21">
        <v>11.3</v>
      </c>
      <c r="AY39" s="21">
        <v>10.6</v>
      </c>
      <c r="AZ39" s="21">
        <v>12.2</v>
      </c>
      <c r="BA39" s="21">
        <v>12.6</v>
      </c>
      <c r="BB39" s="21">
        <v>10.7</v>
      </c>
      <c r="BC39" s="21">
        <v>12.5</v>
      </c>
      <c r="BD39" s="21">
        <v>11.1</v>
      </c>
      <c r="BE39" s="21">
        <v>12.4</v>
      </c>
      <c r="BF39" s="21">
        <v>10.3</v>
      </c>
      <c r="BG39" s="21">
        <v>12.6</v>
      </c>
      <c r="BH39" s="21">
        <v>11.9</v>
      </c>
      <c r="BI39" s="21">
        <v>10.7</v>
      </c>
      <c r="BJ39" s="21">
        <v>12.1</v>
      </c>
    </row>
    <row r="40" ht="15.75" customHeight="1">
      <c r="A40" s="22" t="s">
        <v>179</v>
      </c>
      <c r="B40" s="23">
        <v>20.0</v>
      </c>
      <c r="C40" s="23">
        <v>80.0</v>
      </c>
      <c r="D40" s="23">
        <v>70.0</v>
      </c>
      <c r="E40" s="23">
        <v>72.0</v>
      </c>
      <c r="F40" s="23">
        <v>88.0</v>
      </c>
      <c r="G40" s="23">
        <v>60.0</v>
      </c>
      <c r="H40" s="23">
        <v>80.0</v>
      </c>
      <c r="I40" s="23">
        <v>50.0</v>
      </c>
      <c r="J40" s="23">
        <v>96.0</v>
      </c>
      <c r="K40" s="23">
        <v>40.0</v>
      </c>
      <c r="L40" s="23">
        <v>72.0</v>
      </c>
      <c r="M40" s="23">
        <v>64.0</v>
      </c>
      <c r="N40" s="23">
        <v>80.0</v>
      </c>
      <c r="O40" s="23">
        <v>44.0</v>
      </c>
      <c r="P40" s="23">
        <v>60.0</v>
      </c>
      <c r="Q40" s="23">
        <v>88.0</v>
      </c>
      <c r="R40" s="23">
        <v>100.0</v>
      </c>
      <c r="S40" s="23">
        <v>68.0</v>
      </c>
      <c r="T40" s="23">
        <v>76.0</v>
      </c>
      <c r="U40" s="23">
        <v>40.0</v>
      </c>
      <c r="V40" s="23">
        <v>84.0</v>
      </c>
      <c r="W40" s="23">
        <v>52.0</v>
      </c>
      <c r="X40" s="23">
        <v>72.0</v>
      </c>
      <c r="Y40" s="23">
        <v>72.0</v>
      </c>
      <c r="Z40" s="23">
        <v>92.0</v>
      </c>
      <c r="AA40" s="23">
        <v>64.0</v>
      </c>
      <c r="AB40" s="23">
        <v>60.0</v>
      </c>
      <c r="AC40" s="23">
        <v>140.0</v>
      </c>
      <c r="AD40" s="23">
        <v>56.0</v>
      </c>
      <c r="AE40" s="23">
        <v>48.0</v>
      </c>
      <c r="AF40" s="23">
        <v>80.0</v>
      </c>
      <c r="AG40" s="23">
        <v>60.0</v>
      </c>
      <c r="AH40" s="23">
        <v>52.0</v>
      </c>
      <c r="AI40" s="23">
        <v>96.0</v>
      </c>
      <c r="AJ40" s="23">
        <v>180.0</v>
      </c>
      <c r="AK40" s="23">
        <v>56.0</v>
      </c>
      <c r="AL40" s="23">
        <v>44.0</v>
      </c>
      <c r="AM40" s="23">
        <v>68.0</v>
      </c>
      <c r="AN40" s="23">
        <v>64.0</v>
      </c>
      <c r="AO40" s="23">
        <v>56.0</v>
      </c>
      <c r="AP40" s="23">
        <v>88.0</v>
      </c>
      <c r="AQ40" s="23">
        <v>40.0</v>
      </c>
      <c r="AR40" s="23">
        <v>60.0</v>
      </c>
      <c r="AS40" s="23">
        <v>76.0</v>
      </c>
      <c r="AT40" s="23">
        <v>48.0</v>
      </c>
      <c r="AU40" s="23">
        <v>84.0</v>
      </c>
      <c r="AV40" s="23">
        <v>40.0</v>
      </c>
      <c r="AW40" s="23">
        <v>80.0</v>
      </c>
      <c r="AX40" s="23">
        <v>224.0</v>
      </c>
      <c r="AY40" s="23">
        <v>44.0</v>
      </c>
      <c r="AZ40" s="23">
        <v>72.0</v>
      </c>
      <c r="BA40" s="23">
        <v>100.0</v>
      </c>
      <c r="BB40" s="23">
        <v>64.0</v>
      </c>
      <c r="BC40" s="23">
        <v>92.0</v>
      </c>
      <c r="BD40" s="23">
        <v>48.0</v>
      </c>
      <c r="BE40" s="23">
        <v>96.0</v>
      </c>
      <c r="BF40" s="23">
        <v>40.0</v>
      </c>
      <c r="BG40" s="23">
        <v>76.0</v>
      </c>
      <c r="BH40" s="23">
        <v>56.0</v>
      </c>
      <c r="BI40" s="23">
        <v>84.0</v>
      </c>
      <c r="BJ40" s="23">
        <v>60.0</v>
      </c>
    </row>
    <row r="41" ht="16.5" customHeight="1">
      <c r="A41" s="24" t="s">
        <v>180</v>
      </c>
      <c r="B41" s="22">
        <v>140.0</v>
      </c>
      <c r="C41" s="22">
        <v>560.0</v>
      </c>
      <c r="D41" s="22">
        <v>490.0</v>
      </c>
      <c r="E41" s="22">
        <v>500.0</v>
      </c>
      <c r="F41" s="22">
        <v>620.0</v>
      </c>
      <c r="G41" s="22">
        <v>420.0</v>
      </c>
      <c r="H41" s="22">
        <v>560.0</v>
      </c>
      <c r="I41" s="22">
        <v>350.0</v>
      </c>
      <c r="J41" s="22">
        <v>670.0</v>
      </c>
      <c r="K41" s="22">
        <v>280.0</v>
      </c>
      <c r="L41" s="22">
        <v>505.0</v>
      </c>
      <c r="M41" s="22">
        <v>450.0</v>
      </c>
      <c r="N41" s="22">
        <v>560.0</v>
      </c>
      <c r="O41" s="22">
        <v>310.0</v>
      </c>
      <c r="P41" s="22">
        <v>420.0</v>
      </c>
      <c r="Q41" s="22">
        <v>615.0</v>
      </c>
      <c r="R41" s="22">
        <v>700.0</v>
      </c>
      <c r="S41" s="22">
        <v>475.0</v>
      </c>
      <c r="T41" s="22">
        <v>535.0</v>
      </c>
      <c r="U41" s="22">
        <v>280.0</v>
      </c>
      <c r="V41" s="22">
        <v>590.0</v>
      </c>
      <c r="W41" s="22">
        <v>365.0</v>
      </c>
      <c r="X41" s="22">
        <v>505.0</v>
      </c>
      <c r="Y41" s="22">
        <v>505.0</v>
      </c>
      <c r="Z41" s="22">
        <v>645.0</v>
      </c>
      <c r="AA41" s="22">
        <v>450.0</v>
      </c>
      <c r="AB41" s="22">
        <v>420.0</v>
      </c>
      <c r="AC41" s="22">
        <v>980.0</v>
      </c>
      <c r="AD41" s="22">
        <v>390.0</v>
      </c>
      <c r="AE41" s="22">
        <v>340.0</v>
      </c>
      <c r="AF41" s="22">
        <v>560.0</v>
      </c>
      <c r="AG41" s="22">
        <v>420.0</v>
      </c>
      <c r="AH41" s="22">
        <v>365.0</v>
      </c>
      <c r="AI41" s="22">
        <v>675.0</v>
      </c>
      <c r="AJ41" s="22">
        <v>1260.0</v>
      </c>
      <c r="AK41" s="22">
        <v>390.0</v>
      </c>
      <c r="AL41" s="22">
        <v>310.0</v>
      </c>
      <c r="AM41" s="22">
        <v>475.0</v>
      </c>
      <c r="AN41" s="22">
        <v>450.0</v>
      </c>
      <c r="AO41" s="22">
        <v>390.0</v>
      </c>
      <c r="AP41" s="22">
        <v>615.0</v>
      </c>
      <c r="AQ41" s="22">
        <v>280.0</v>
      </c>
      <c r="AR41" s="22">
        <v>420.0</v>
      </c>
      <c r="AS41" s="22">
        <v>535.0</v>
      </c>
      <c r="AT41" s="22">
        <v>335.0</v>
      </c>
      <c r="AU41" s="22">
        <v>590.0</v>
      </c>
      <c r="AV41" s="22">
        <v>280.0</v>
      </c>
      <c r="AW41" s="22">
        <v>560.0</v>
      </c>
      <c r="AX41" s="22">
        <v>1570.0</v>
      </c>
      <c r="AY41" s="22">
        <v>310.0</v>
      </c>
      <c r="AZ41" s="22">
        <v>505.0</v>
      </c>
      <c r="BA41" s="22">
        <v>700.0</v>
      </c>
      <c r="BB41" s="22">
        <v>450.0</v>
      </c>
      <c r="BC41" s="22">
        <v>645.0</v>
      </c>
      <c r="BD41" s="22">
        <v>335.0</v>
      </c>
      <c r="BE41" s="22">
        <v>670.0</v>
      </c>
      <c r="BF41" s="22">
        <v>280.0</v>
      </c>
      <c r="BG41" s="22">
        <v>535.0</v>
      </c>
      <c r="BH41" s="22">
        <v>390.0</v>
      </c>
      <c r="BI41" s="22">
        <v>590.0</v>
      </c>
      <c r="BJ41" s="22">
        <v>420.0</v>
      </c>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row>
    <row r="44" ht="15.75" customHeight="1">
      <c r="A44" s="25" t="s">
        <v>181</v>
      </c>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row>
    <row r="45" ht="15.75" customHeight="1">
      <c r="A45" s="11" t="s">
        <v>182</v>
      </c>
      <c r="B45" s="11">
        <v>4.0</v>
      </c>
      <c r="C45" s="11">
        <v>4.0</v>
      </c>
      <c r="D45" s="11">
        <v>6.0</v>
      </c>
      <c r="E45" s="11">
        <v>7.0</v>
      </c>
      <c r="F45" s="11">
        <v>3.0</v>
      </c>
      <c r="G45" s="11">
        <v>5.0</v>
      </c>
      <c r="H45" s="11">
        <v>5.0</v>
      </c>
      <c r="I45" s="11">
        <v>3.0</v>
      </c>
      <c r="J45" s="11">
        <v>4.0</v>
      </c>
      <c r="K45" s="11">
        <v>3.0</v>
      </c>
      <c r="L45" s="11">
        <v>3.0</v>
      </c>
      <c r="M45" s="11">
        <v>6.0</v>
      </c>
      <c r="N45" s="11">
        <v>6.0</v>
      </c>
      <c r="O45" s="11">
        <v>2.0</v>
      </c>
      <c r="P45" s="11">
        <v>8.0</v>
      </c>
      <c r="Q45" s="11">
        <v>22.0</v>
      </c>
      <c r="R45" s="11">
        <v>8.0</v>
      </c>
      <c r="S45" s="11">
        <v>4.0</v>
      </c>
      <c r="T45" s="11">
        <v>4.0</v>
      </c>
      <c r="U45" s="11"/>
      <c r="V45" s="11">
        <v>6.0</v>
      </c>
      <c r="W45" s="11">
        <v>6.0</v>
      </c>
      <c r="X45" s="11">
        <v>3.0</v>
      </c>
      <c r="Y45" s="11"/>
      <c r="Z45" s="11">
        <v>7.0</v>
      </c>
      <c r="AA45" s="11">
        <v>18.0</v>
      </c>
      <c r="AB45" s="11">
        <v>4.0</v>
      </c>
      <c r="AC45" s="11">
        <v>12.0</v>
      </c>
      <c r="AD45" s="11">
        <v>5.0</v>
      </c>
      <c r="AE45" s="11">
        <v>4.0</v>
      </c>
      <c r="AF45" s="11">
        <v>5.0</v>
      </c>
      <c r="AG45" s="11">
        <v>8.0</v>
      </c>
      <c r="AH45" s="11">
        <v>8.0</v>
      </c>
      <c r="AI45" s="11">
        <v>9.0</v>
      </c>
      <c r="AJ45" s="11">
        <v>18.0</v>
      </c>
      <c r="AK45" s="11">
        <v>8.0</v>
      </c>
      <c r="AL45" s="11">
        <v>3.0</v>
      </c>
      <c r="AM45" s="11">
        <v>8.0</v>
      </c>
      <c r="AN45" s="11">
        <v>5.0</v>
      </c>
      <c r="AO45" s="11">
        <v>5.0</v>
      </c>
      <c r="AP45" s="11">
        <v>6.0</v>
      </c>
      <c r="AQ45" s="11"/>
      <c r="AR45" s="11">
        <v>4.0</v>
      </c>
      <c r="AS45" s="11">
        <v>7.0</v>
      </c>
      <c r="AT45" s="11"/>
      <c r="AU45" s="11">
        <v>6.0</v>
      </c>
      <c r="AV45" s="11">
        <v>4.0</v>
      </c>
      <c r="AW45" s="11">
        <v>5.0</v>
      </c>
      <c r="AX45" s="11">
        <v>35.0</v>
      </c>
      <c r="AY45" s="11"/>
      <c r="AZ45" s="11">
        <v>5.0</v>
      </c>
      <c r="BA45" s="11">
        <v>7.0</v>
      </c>
      <c r="BB45" s="11">
        <v>6.0</v>
      </c>
      <c r="BC45" s="11">
        <v>8.0</v>
      </c>
      <c r="BD45" s="11">
        <v>6.0</v>
      </c>
      <c r="BE45" s="11">
        <v>8.0</v>
      </c>
      <c r="BF45" s="11"/>
      <c r="BG45" s="11">
        <v>4.0</v>
      </c>
      <c r="BH45" s="11">
        <v>4.0</v>
      </c>
      <c r="BI45" s="11">
        <v>8.0</v>
      </c>
      <c r="BJ45" s="11">
        <v>5.0</v>
      </c>
    </row>
    <row r="46" ht="15.75" customHeight="1">
      <c r="A46" s="11" t="s">
        <v>183</v>
      </c>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ht="15.75" customHeight="1">
      <c r="A47" s="11" t="s">
        <v>184</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ht="15.75" customHeight="1">
      <c r="A48" s="11" t="s">
        <v>185</v>
      </c>
      <c r="B48" s="11">
        <v>9.0</v>
      </c>
      <c r="C48" s="11"/>
      <c r="D48" s="11">
        <v>12.0</v>
      </c>
      <c r="E48" s="11">
        <v>9.0</v>
      </c>
      <c r="F48" s="11"/>
      <c r="G48" s="11">
        <v>10.0</v>
      </c>
      <c r="H48" s="11">
        <v>5.0</v>
      </c>
      <c r="I48" s="11"/>
      <c r="J48" s="11">
        <v>6.0</v>
      </c>
      <c r="K48" s="11">
        <v>5.0</v>
      </c>
      <c r="L48" s="11">
        <v>4.0</v>
      </c>
      <c r="M48" s="11">
        <v>8.0</v>
      </c>
      <c r="N48" s="11">
        <v>5.0</v>
      </c>
      <c r="O48" s="11">
        <v>5.0</v>
      </c>
      <c r="P48" s="11">
        <v>22.0</v>
      </c>
      <c r="Q48" s="11">
        <v>14.0</v>
      </c>
      <c r="R48" s="11">
        <v>14.0</v>
      </c>
      <c r="S48" s="11">
        <v>6.0</v>
      </c>
      <c r="T48" s="11">
        <v>3.0</v>
      </c>
      <c r="U48" s="11">
        <v>10.0</v>
      </c>
      <c r="V48" s="11">
        <v>7.0</v>
      </c>
      <c r="W48" s="11">
        <v>16.0</v>
      </c>
      <c r="X48" s="11"/>
      <c r="Y48" s="11">
        <v>18.0</v>
      </c>
      <c r="Z48" s="11">
        <v>6.0</v>
      </c>
      <c r="AA48" s="11">
        <v>12.0</v>
      </c>
      <c r="AB48" s="11">
        <v>5.0</v>
      </c>
      <c r="AC48" s="11">
        <v>15.0</v>
      </c>
      <c r="AD48" s="11">
        <v>12.0</v>
      </c>
      <c r="AE48" s="11">
        <v>10.0</v>
      </c>
      <c r="AF48" s="11">
        <v>4.0</v>
      </c>
      <c r="AG48" s="11">
        <v>12.0</v>
      </c>
      <c r="AH48" s="11">
        <v>16.0</v>
      </c>
      <c r="AI48" s="11">
        <v>10.0</v>
      </c>
      <c r="AJ48" s="11">
        <v>22.0</v>
      </c>
      <c r="AK48" s="11">
        <v>20.0</v>
      </c>
      <c r="AL48" s="11">
        <v>4.0</v>
      </c>
      <c r="AM48" s="11">
        <v>22.0</v>
      </c>
      <c r="AN48" s="11">
        <v>10.0</v>
      </c>
      <c r="AO48" s="11">
        <v>12.0</v>
      </c>
      <c r="AP48" s="11">
        <v>5.0</v>
      </c>
      <c r="AQ48" s="11">
        <v>6.0</v>
      </c>
      <c r="AR48" s="11">
        <v>8.0</v>
      </c>
      <c r="AS48" s="11">
        <v>8.0</v>
      </c>
      <c r="AT48" s="11">
        <v>10.0</v>
      </c>
      <c r="AU48" s="11">
        <v>7.0</v>
      </c>
      <c r="AV48" s="11">
        <v>6.0</v>
      </c>
      <c r="AW48" s="11">
        <v>4.0</v>
      </c>
      <c r="AX48" s="11">
        <v>60.0</v>
      </c>
      <c r="AY48" s="11">
        <v>10.0</v>
      </c>
      <c r="AZ48" s="11">
        <v>9.0</v>
      </c>
      <c r="BA48" s="11">
        <v>6.0</v>
      </c>
      <c r="BB48" s="11">
        <v>15.0</v>
      </c>
      <c r="BC48" s="11">
        <v>7.0</v>
      </c>
      <c r="BD48" s="11">
        <v>16.0</v>
      </c>
      <c r="BE48" s="11">
        <v>9.0</v>
      </c>
      <c r="BF48" s="11">
        <v>10.0</v>
      </c>
      <c r="BG48" s="11">
        <v>5.0</v>
      </c>
      <c r="BH48" s="11">
        <v>10.0</v>
      </c>
      <c r="BI48" s="11">
        <v>18.0</v>
      </c>
      <c r="BJ48" s="11">
        <v>8.0</v>
      </c>
    </row>
    <row r="49" ht="15.75" customHeight="1">
      <c r="A49" s="11" t="s">
        <v>186</v>
      </c>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row>
    <row r="50" ht="15.75" customHeight="1">
      <c r="A50" s="11" t="s">
        <v>187</v>
      </c>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row>
    <row r="51" ht="15.75" customHeight="1">
      <c r="A51" s="11" t="s">
        <v>188</v>
      </c>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row>
    <row r="52" ht="15.75" customHeight="1">
      <c r="A52" s="11" t="s">
        <v>189</v>
      </c>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v>5.0</v>
      </c>
      <c r="AU52" s="11"/>
      <c r="AV52" s="11"/>
      <c r="AW52" s="11"/>
      <c r="AX52" s="11"/>
      <c r="AY52" s="11"/>
      <c r="AZ52" s="11"/>
      <c r="BA52" s="11"/>
      <c r="BB52" s="11"/>
      <c r="BC52" s="11"/>
      <c r="BD52" s="11"/>
      <c r="BE52" s="11"/>
      <c r="BF52" s="11"/>
      <c r="BG52" s="11"/>
      <c r="BH52" s="11"/>
      <c r="BI52" s="11"/>
      <c r="BJ52" s="11"/>
    </row>
    <row r="53" ht="15.75" customHeight="1">
      <c r="A53" s="11" t="s">
        <v>190</v>
      </c>
      <c r="B53" s="11">
        <v>8.0</v>
      </c>
      <c r="C53" s="11"/>
      <c r="D53" s="11"/>
      <c r="E53" s="11"/>
      <c r="F53" s="11"/>
      <c r="G53" s="11"/>
      <c r="H53" s="11"/>
      <c r="I53" s="11"/>
      <c r="J53" s="11"/>
      <c r="K53" s="11"/>
      <c r="L53" s="11"/>
      <c r="M53" s="11"/>
      <c r="N53" s="11"/>
      <c r="O53" s="11"/>
      <c r="P53" s="11">
        <v>18.0</v>
      </c>
      <c r="Q53" s="11"/>
      <c r="R53" s="11"/>
      <c r="S53" s="11"/>
      <c r="T53" s="11"/>
      <c r="U53" s="11">
        <v>22.0</v>
      </c>
      <c r="V53" s="11"/>
      <c r="W53" s="11"/>
      <c r="X53" s="11"/>
      <c r="Y53" s="11">
        <v>40.0</v>
      </c>
      <c r="Z53" s="11"/>
      <c r="AA53" s="11"/>
      <c r="AB53" s="11"/>
      <c r="AC53" s="11"/>
      <c r="AD53" s="11">
        <v>30.0</v>
      </c>
      <c r="AE53" s="11"/>
      <c r="AF53" s="11"/>
      <c r="AG53" s="11"/>
      <c r="AH53" s="11">
        <v>28.0</v>
      </c>
      <c r="AI53" s="11"/>
      <c r="AJ53" s="11"/>
      <c r="AK53" s="11"/>
      <c r="AL53" s="11"/>
      <c r="AM53" s="11">
        <v>42.0</v>
      </c>
      <c r="AN53" s="11"/>
      <c r="AO53" s="11">
        <v>35.0</v>
      </c>
      <c r="AP53" s="11"/>
      <c r="AQ53" s="11"/>
      <c r="AR53" s="11"/>
      <c r="AS53" s="11"/>
      <c r="AT53" s="11">
        <v>25.0</v>
      </c>
      <c r="AU53" s="11"/>
      <c r="AV53" s="11"/>
      <c r="AW53" s="11"/>
      <c r="AX53" s="11"/>
      <c r="AY53" s="11">
        <v>26.0</v>
      </c>
      <c r="AZ53" s="11"/>
      <c r="BA53" s="11"/>
      <c r="BB53" s="11">
        <v>35.0</v>
      </c>
      <c r="BC53" s="11"/>
      <c r="BD53" s="11"/>
      <c r="BE53" s="11"/>
      <c r="BF53" s="11">
        <v>32.0</v>
      </c>
      <c r="BG53" s="11"/>
      <c r="BH53" s="11"/>
      <c r="BI53" s="11">
        <v>50.0</v>
      </c>
      <c r="BJ53" s="11"/>
    </row>
    <row r="54" ht="15.75" customHeight="1">
      <c r="A54" s="11" t="s">
        <v>191</v>
      </c>
      <c r="B54" s="11"/>
      <c r="C54" s="11"/>
      <c r="D54" s="11"/>
      <c r="E54" s="11"/>
      <c r="F54" s="11"/>
      <c r="G54" s="11"/>
      <c r="H54" s="11"/>
      <c r="I54" s="11"/>
      <c r="J54" s="11"/>
      <c r="K54" s="11"/>
      <c r="L54" s="11"/>
      <c r="M54" s="11"/>
      <c r="N54" s="11"/>
      <c r="O54" s="11"/>
      <c r="P54" s="11"/>
      <c r="Q54" s="11"/>
      <c r="R54" s="11"/>
      <c r="S54" s="11"/>
      <c r="T54" s="11"/>
      <c r="U54" s="11">
        <v>12.0</v>
      </c>
      <c r="V54" s="11"/>
      <c r="W54" s="11"/>
      <c r="X54" s="11"/>
      <c r="Y54" s="11">
        <v>22.0</v>
      </c>
      <c r="Z54" s="11"/>
      <c r="AA54" s="11"/>
      <c r="AB54" s="11"/>
      <c r="AC54" s="11"/>
      <c r="AD54" s="11"/>
      <c r="AE54" s="11"/>
      <c r="AF54" s="11"/>
      <c r="AG54" s="11"/>
      <c r="AH54" s="11"/>
      <c r="AI54" s="11"/>
      <c r="AJ54" s="11"/>
      <c r="AK54" s="11"/>
      <c r="AL54" s="11"/>
      <c r="AM54" s="11"/>
      <c r="AN54" s="11"/>
      <c r="AO54" s="11"/>
      <c r="AP54" s="11"/>
      <c r="AQ54" s="11"/>
      <c r="AR54" s="11"/>
      <c r="AS54" s="11"/>
      <c r="AT54" s="11">
        <v>14.0</v>
      </c>
      <c r="AU54" s="11"/>
      <c r="AV54" s="11"/>
      <c r="AW54" s="11"/>
      <c r="AX54" s="11"/>
      <c r="AY54" s="11">
        <v>6.0</v>
      </c>
      <c r="AZ54" s="11"/>
      <c r="BA54" s="11"/>
      <c r="BB54" s="11"/>
      <c r="BC54" s="11"/>
      <c r="BD54" s="11"/>
      <c r="BE54" s="11"/>
      <c r="BF54" s="11">
        <v>15.0</v>
      </c>
      <c r="BG54" s="11"/>
      <c r="BH54" s="11"/>
      <c r="BI54" s="11"/>
      <c r="BJ54" s="11"/>
    </row>
    <row r="55" ht="15.75" customHeight="1">
      <c r="A55" s="11" t="s">
        <v>192</v>
      </c>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row>
    <row r="56" ht="15.75" customHeight="1">
      <c r="A56" s="11" t="s">
        <v>193</v>
      </c>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row>
    <row r="57" ht="15.75" customHeight="1">
      <c r="A57" s="11" t="s">
        <v>194</v>
      </c>
      <c r="B57" s="11"/>
      <c r="C57" s="11">
        <v>2.0</v>
      </c>
      <c r="D57" s="11"/>
      <c r="E57" s="11"/>
      <c r="F57" s="11">
        <v>3.0</v>
      </c>
      <c r="G57" s="11">
        <v>3.0</v>
      </c>
      <c r="H57" s="11"/>
      <c r="I57" s="11">
        <v>4.0</v>
      </c>
      <c r="J57" s="11"/>
      <c r="K57" s="11">
        <v>2.0</v>
      </c>
      <c r="L57" s="11"/>
      <c r="M57" s="11">
        <v>3.0</v>
      </c>
      <c r="N57" s="11"/>
      <c r="O57" s="11"/>
      <c r="P57" s="11"/>
      <c r="Q57" s="11"/>
      <c r="R57" s="11"/>
      <c r="S57" s="11">
        <v>3.0</v>
      </c>
      <c r="T57" s="11"/>
      <c r="U57" s="11"/>
      <c r="V57" s="11"/>
      <c r="W57" s="11"/>
      <c r="X57" s="11">
        <v>4.0</v>
      </c>
      <c r="Y57" s="11"/>
      <c r="Z57" s="11"/>
      <c r="AA57" s="11"/>
      <c r="AB57" s="11"/>
      <c r="AC57" s="11">
        <v>8.0</v>
      </c>
      <c r="AD57" s="11"/>
      <c r="AE57" s="11"/>
      <c r="AF57" s="11"/>
      <c r="AG57" s="11">
        <v>4.0</v>
      </c>
      <c r="AH57" s="11"/>
      <c r="AI57" s="11"/>
      <c r="AJ57" s="11">
        <v>10.0</v>
      </c>
      <c r="AK57" s="11"/>
      <c r="AL57" s="11"/>
      <c r="AM57" s="11"/>
      <c r="AN57" s="11"/>
      <c r="AO57" s="11"/>
      <c r="AP57" s="11">
        <v>4.0</v>
      </c>
      <c r="AQ57" s="11"/>
      <c r="AR57" s="11"/>
      <c r="AS57" s="11"/>
      <c r="AT57" s="11"/>
      <c r="AU57" s="11"/>
      <c r="AV57" s="11"/>
      <c r="AW57" s="11"/>
      <c r="AX57" s="11">
        <v>18.0</v>
      </c>
      <c r="AY57" s="11"/>
      <c r="AZ57" s="11"/>
      <c r="BA57" s="11">
        <v>4.0</v>
      </c>
      <c r="BB57" s="11"/>
      <c r="BC57" s="11"/>
      <c r="BD57" s="11"/>
      <c r="BE57" s="11">
        <v>5.0</v>
      </c>
      <c r="BF57" s="11"/>
      <c r="BG57" s="11"/>
      <c r="BH57" s="11">
        <v>3.0</v>
      </c>
      <c r="BI57" s="11"/>
      <c r="BJ57" s="11"/>
    </row>
    <row r="58" ht="15.75" customHeight="1">
      <c r="A58" s="11" t="s">
        <v>195</v>
      </c>
      <c r="B58" s="11"/>
      <c r="C58" s="11"/>
      <c r="D58" s="11"/>
      <c r="E58" s="11"/>
      <c r="F58" s="11"/>
      <c r="G58" s="11"/>
      <c r="H58" s="11"/>
      <c r="I58" s="11"/>
      <c r="J58" s="11"/>
      <c r="K58" s="11"/>
      <c r="L58" s="11"/>
      <c r="M58" s="11"/>
      <c r="N58" s="11"/>
      <c r="O58" s="11"/>
      <c r="P58" s="11">
        <v>15.0</v>
      </c>
      <c r="Q58" s="11"/>
      <c r="R58" s="11"/>
      <c r="S58" s="11"/>
      <c r="T58" s="11"/>
      <c r="U58" s="11">
        <v>8.0</v>
      </c>
      <c r="V58" s="11"/>
      <c r="W58" s="11">
        <v>10.0</v>
      </c>
      <c r="X58" s="11"/>
      <c r="Y58" s="11">
        <v>15.0</v>
      </c>
      <c r="Z58" s="11"/>
      <c r="AA58" s="11"/>
      <c r="AB58" s="11"/>
      <c r="AC58" s="11"/>
      <c r="AD58" s="11">
        <v>18.0</v>
      </c>
      <c r="AE58" s="11">
        <v>17.0</v>
      </c>
      <c r="AF58" s="11"/>
      <c r="AG58" s="11">
        <v>6.0</v>
      </c>
      <c r="AH58" s="11">
        <v>12.0</v>
      </c>
      <c r="AI58" s="11"/>
      <c r="AJ58" s="11"/>
      <c r="AK58" s="11">
        <v>10.0</v>
      </c>
      <c r="AL58" s="11"/>
      <c r="AM58" s="11">
        <v>14.0</v>
      </c>
      <c r="AN58" s="11"/>
      <c r="AO58" s="11">
        <v>16.0</v>
      </c>
      <c r="AP58" s="11"/>
      <c r="AQ58" s="11"/>
      <c r="AR58" s="11">
        <v>4.0</v>
      </c>
      <c r="AS58" s="11"/>
      <c r="AT58" s="11">
        <v>8.0</v>
      </c>
      <c r="AU58" s="11"/>
      <c r="AV58" s="11"/>
      <c r="AW58" s="11"/>
      <c r="AX58" s="11">
        <v>28.0</v>
      </c>
      <c r="AY58" s="11">
        <v>14.0</v>
      </c>
      <c r="AZ58" s="11"/>
      <c r="BA58" s="11"/>
      <c r="BB58" s="11">
        <v>18.0</v>
      </c>
      <c r="BC58" s="11"/>
      <c r="BD58" s="11">
        <v>9.0</v>
      </c>
      <c r="BE58" s="11"/>
      <c r="BF58" s="11">
        <v>8.0</v>
      </c>
      <c r="BG58" s="11"/>
      <c r="BH58" s="11"/>
      <c r="BI58" s="11">
        <v>22.0</v>
      </c>
      <c r="BJ58" s="11"/>
    </row>
    <row r="59" ht="15.75" customHeight="1">
      <c r="A59" s="11" t="s">
        <v>196</v>
      </c>
      <c r="B59" s="11"/>
      <c r="C59" s="11"/>
      <c r="D59" s="11"/>
      <c r="E59" s="11">
        <v>4.0</v>
      </c>
      <c r="F59" s="11"/>
      <c r="G59" s="11"/>
      <c r="H59" s="11">
        <v>3.0</v>
      </c>
      <c r="I59" s="11"/>
      <c r="J59" s="11"/>
      <c r="K59" s="11"/>
      <c r="L59" s="11"/>
      <c r="M59" s="11"/>
      <c r="N59" s="11">
        <v>4.0</v>
      </c>
      <c r="O59" s="11"/>
      <c r="P59" s="11"/>
      <c r="Q59" s="11"/>
      <c r="R59" s="11">
        <v>6.0</v>
      </c>
      <c r="S59" s="11"/>
      <c r="T59" s="11"/>
      <c r="U59" s="11"/>
      <c r="V59" s="11">
        <v>3.0</v>
      </c>
      <c r="W59" s="11"/>
      <c r="X59" s="11"/>
      <c r="Y59" s="11"/>
      <c r="Z59" s="11"/>
      <c r="AA59" s="11"/>
      <c r="AB59" s="11"/>
      <c r="AC59" s="11">
        <v>5.0</v>
      </c>
      <c r="AD59" s="11"/>
      <c r="AE59" s="11"/>
      <c r="AF59" s="11"/>
      <c r="AG59" s="11"/>
      <c r="AH59" s="11"/>
      <c r="AI59" s="11">
        <v>4.0</v>
      </c>
      <c r="AJ59" s="11">
        <v>8.0</v>
      </c>
      <c r="AK59" s="11"/>
      <c r="AL59" s="11"/>
      <c r="AM59" s="11"/>
      <c r="AN59" s="11"/>
      <c r="AO59" s="11"/>
      <c r="AP59" s="11"/>
      <c r="AQ59" s="11">
        <v>3.0</v>
      </c>
      <c r="AR59" s="11"/>
      <c r="AS59" s="11"/>
      <c r="AT59" s="11"/>
      <c r="AU59" s="11">
        <v>3.0</v>
      </c>
      <c r="AV59" s="11"/>
      <c r="AW59" s="11"/>
      <c r="AX59" s="11">
        <v>12.0</v>
      </c>
      <c r="AY59" s="11"/>
      <c r="AZ59" s="11">
        <v>3.0</v>
      </c>
      <c r="BA59" s="11"/>
      <c r="BB59" s="11"/>
      <c r="BC59" s="11"/>
      <c r="BD59" s="11"/>
      <c r="BE59" s="11"/>
      <c r="BF59" s="11"/>
      <c r="BG59" s="11"/>
      <c r="BH59" s="11"/>
      <c r="BI59" s="11"/>
      <c r="BJ59" s="11">
        <v>3.0</v>
      </c>
    </row>
    <row r="60" ht="15.75" customHeight="1">
      <c r="A60" s="11" t="s">
        <v>197</v>
      </c>
      <c r="B60" s="11"/>
      <c r="C60" s="11"/>
      <c r="D60" s="11"/>
      <c r="E60" s="11"/>
      <c r="F60" s="11"/>
      <c r="G60" s="11"/>
      <c r="H60" s="11"/>
      <c r="I60" s="11"/>
      <c r="J60" s="11"/>
      <c r="K60" s="11"/>
      <c r="L60" s="11"/>
      <c r="M60" s="11"/>
      <c r="N60" s="11"/>
      <c r="O60" s="11"/>
      <c r="P60" s="11"/>
      <c r="Q60" s="11"/>
      <c r="R60" s="11"/>
      <c r="S60" s="11"/>
      <c r="T60" s="11"/>
      <c r="U60" s="11"/>
      <c r="V60" s="11"/>
      <c r="W60" s="11">
        <v>4.0</v>
      </c>
      <c r="X60" s="11"/>
      <c r="Y60" s="11"/>
      <c r="Z60" s="11"/>
      <c r="AA60" s="11"/>
      <c r="AB60" s="11"/>
      <c r="AC60" s="11"/>
      <c r="AD60" s="11"/>
      <c r="AE60" s="11">
        <v>6.0</v>
      </c>
      <c r="AF60" s="11"/>
      <c r="AG60" s="11"/>
      <c r="AH60" s="11"/>
      <c r="AI60" s="11"/>
      <c r="AJ60" s="11"/>
      <c r="AK60" s="11">
        <v>5.0</v>
      </c>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row>
    <row r="61" ht="15.75" customHeight="1">
      <c r="A61" s="11" t="s">
        <v>198</v>
      </c>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v>4.0</v>
      </c>
      <c r="BE61" s="11"/>
      <c r="BF61" s="11"/>
      <c r="BG61" s="11"/>
      <c r="BH61" s="11"/>
      <c r="BI61" s="11"/>
      <c r="BJ61" s="11"/>
    </row>
    <row r="62" ht="15.75" customHeight="1">
      <c r="A62" s="11" t="s">
        <v>199</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ht="15.75" customHeight="1">
      <c r="A63" s="11" t="s">
        <v>200</v>
      </c>
      <c r="B63" s="15">
        <f t="shared" ref="B63:BJ63" si="3">SUM(B45:B62)/B41</f>
        <v>0.15</v>
      </c>
      <c r="C63" s="15">
        <f t="shared" si="3"/>
        <v>0.01071428571</v>
      </c>
      <c r="D63" s="15">
        <f t="shared" si="3"/>
        <v>0.03673469388</v>
      </c>
      <c r="E63" s="15">
        <f t="shared" si="3"/>
        <v>0.04</v>
      </c>
      <c r="F63" s="15">
        <f t="shared" si="3"/>
        <v>0.009677419355</v>
      </c>
      <c r="G63" s="15">
        <f t="shared" si="3"/>
        <v>0.04285714286</v>
      </c>
      <c r="H63" s="15">
        <f t="shared" si="3"/>
        <v>0.02321428571</v>
      </c>
      <c r="I63" s="15">
        <f t="shared" si="3"/>
        <v>0.02</v>
      </c>
      <c r="J63" s="15">
        <f t="shared" si="3"/>
        <v>0.01492537313</v>
      </c>
      <c r="K63" s="15">
        <f t="shared" si="3"/>
        <v>0.03571428571</v>
      </c>
      <c r="L63" s="15">
        <f t="shared" si="3"/>
        <v>0.01386138614</v>
      </c>
      <c r="M63" s="15">
        <f t="shared" si="3"/>
        <v>0.03777777778</v>
      </c>
      <c r="N63" s="15">
        <f t="shared" si="3"/>
        <v>0.02678571429</v>
      </c>
      <c r="O63" s="15">
        <f t="shared" si="3"/>
        <v>0.02258064516</v>
      </c>
      <c r="P63" s="15">
        <f t="shared" si="3"/>
        <v>0.15</v>
      </c>
      <c r="Q63" s="15">
        <f t="shared" si="3"/>
        <v>0.05853658537</v>
      </c>
      <c r="R63" s="15">
        <f t="shared" si="3"/>
        <v>0.04</v>
      </c>
      <c r="S63" s="15">
        <f t="shared" si="3"/>
        <v>0.02736842105</v>
      </c>
      <c r="T63" s="15">
        <f t="shared" si="3"/>
        <v>0.01308411215</v>
      </c>
      <c r="U63" s="15">
        <f t="shared" si="3"/>
        <v>0.1857142857</v>
      </c>
      <c r="V63" s="15">
        <f t="shared" si="3"/>
        <v>0.02711864407</v>
      </c>
      <c r="W63" s="15">
        <f t="shared" si="3"/>
        <v>0.09863013699</v>
      </c>
      <c r="X63" s="15">
        <f t="shared" si="3"/>
        <v>0.01386138614</v>
      </c>
      <c r="Y63" s="15">
        <f t="shared" si="3"/>
        <v>0.1881188119</v>
      </c>
      <c r="Z63" s="15">
        <f t="shared" si="3"/>
        <v>0.02015503876</v>
      </c>
      <c r="AA63" s="15">
        <f t="shared" si="3"/>
        <v>0.06666666667</v>
      </c>
      <c r="AB63" s="15">
        <f t="shared" si="3"/>
        <v>0.02142857143</v>
      </c>
      <c r="AC63" s="15">
        <f t="shared" si="3"/>
        <v>0.04081632653</v>
      </c>
      <c r="AD63" s="15">
        <f t="shared" si="3"/>
        <v>0.1666666667</v>
      </c>
      <c r="AE63" s="15">
        <f t="shared" si="3"/>
        <v>0.1088235294</v>
      </c>
      <c r="AF63" s="15">
        <f t="shared" si="3"/>
        <v>0.01607142857</v>
      </c>
      <c r="AG63" s="15">
        <f t="shared" si="3"/>
        <v>0.07142857143</v>
      </c>
      <c r="AH63" s="15">
        <f t="shared" si="3"/>
        <v>0.1753424658</v>
      </c>
      <c r="AI63" s="15">
        <f t="shared" si="3"/>
        <v>0.03407407407</v>
      </c>
      <c r="AJ63" s="15">
        <f t="shared" si="3"/>
        <v>0.04603174603</v>
      </c>
      <c r="AK63" s="15">
        <f t="shared" si="3"/>
        <v>0.1102564103</v>
      </c>
      <c r="AL63" s="15">
        <f t="shared" si="3"/>
        <v>0.02258064516</v>
      </c>
      <c r="AM63" s="15">
        <f t="shared" si="3"/>
        <v>0.1810526316</v>
      </c>
      <c r="AN63" s="15">
        <f t="shared" si="3"/>
        <v>0.03333333333</v>
      </c>
      <c r="AO63" s="15">
        <f t="shared" si="3"/>
        <v>0.1743589744</v>
      </c>
      <c r="AP63" s="15">
        <f t="shared" si="3"/>
        <v>0.0243902439</v>
      </c>
      <c r="AQ63" s="15">
        <f t="shared" si="3"/>
        <v>0.03214285714</v>
      </c>
      <c r="AR63" s="15">
        <f t="shared" si="3"/>
        <v>0.0380952381</v>
      </c>
      <c r="AS63" s="15">
        <f t="shared" si="3"/>
        <v>0.02803738318</v>
      </c>
      <c r="AT63" s="15">
        <f t="shared" si="3"/>
        <v>0.1850746269</v>
      </c>
      <c r="AU63" s="15">
        <f t="shared" si="3"/>
        <v>0.02711864407</v>
      </c>
      <c r="AV63" s="15">
        <f t="shared" si="3"/>
        <v>0.03571428571</v>
      </c>
      <c r="AW63" s="15">
        <f t="shared" si="3"/>
        <v>0.01607142857</v>
      </c>
      <c r="AX63" s="15">
        <f t="shared" si="3"/>
        <v>0.0974522293</v>
      </c>
      <c r="AY63" s="15">
        <f t="shared" si="3"/>
        <v>0.1806451613</v>
      </c>
      <c r="AZ63" s="15">
        <f t="shared" si="3"/>
        <v>0.03366336634</v>
      </c>
      <c r="BA63" s="15">
        <f t="shared" si="3"/>
        <v>0.02428571429</v>
      </c>
      <c r="BB63" s="15">
        <f t="shared" si="3"/>
        <v>0.1644444444</v>
      </c>
      <c r="BC63" s="15">
        <f t="shared" si="3"/>
        <v>0.02325581395</v>
      </c>
      <c r="BD63" s="15">
        <f t="shared" si="3"/>
        <v>0.1044776119</v>
      </c>
      <c r="BE63" s="15">
        <f t="shared" si="3"/>
        <v>0.0328358209</v>
      </c>
      <c r="BF63" s="15">
        <f t="shared" si="3"/>
        <v>0.2321428571</v>
      </c>
      <c r="BG63" s="15">
        <f t="shared" si="3"/>
        <v>0.01682242991</v>
      </c>
      <c r="BH63" s="15">
        <f t="shared" si="3"/>
        <v>0.04358974359</v>
      </c>
      <c r="BI63" s="15">
        <f t="shared" si="3"/>
        <v>0.1661016949</v>
      </c>
      <c r="BJ63" s="15">
        <f t="shared" si="3"/>
        <v>0.0380952381</v>
      </c>
    </row>
    <row r="64" ht="15.75" customHeight="1">
      <c r="A64" s="1" t="s">
        <v>201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ht="409.5" customHeight="1">
      <c r="A65" s="11" t="s">
        <v>202</v>
      </c>
      <c r="B65" s="26" t="s">
        <v>203</v>
      </c>
      <c r="C65" s="26" t="s">
        <v>204</v>
      </c>
      <c r="D65" s="26" t="s">
        <v>205</v>
      </c>
      <c r="E65" s="26" t="s">
        <v>206</v>
      </c>
      <c r="F65" s="26" t="s">
        <v>207</v>
      </c>
      <c r="G65" s="26" t="s">
        <v>208</v>
      </c>
      <c r="H65" s="26" t="s">
        <v>209</v>
      </c>
      <c r="I65" s="26" t="s">
        <v>210</v>
      </c>
      <c r="J65" s="26" t="s">
        <v>211</v>
      </c>
      <c r="K65" s="26" t="s">
        <v>212</v>
      </c>
      <c r="L65" s="26" t="s">
        <v>213</v>
      </c>
      <c r="M65" s="26" t="s">
        <v>214</v>
      </c>
      <c r="N65" s="26" t="s">
        <v>215</v>
      </c>
      <c r="O65" s="26" t="s">
        <v>216</v>
      </c>
      <c r="P65" s="26" t="s">
        <v>217</v>
      </c>
      <c r="Q65" s="26" t="s">
        <v>218</v>
      </c>
      <c r="R65" s="26" t="s">
        <v>219</v>
      </c>
      <c r="S65" s="26" t="s">
        <v>220</v>
      </c>
      <c r="T65" s="26" t="s">
        <v>221</v>
      </c>
      <c r="U65" s="26" t="s">
        <v>222</v>
      </c>
      <c r="V65" s="26" t="s">
        <v>223</v>
      </c>
      <c r="W65" s="26" t="s">
        <v>224</v>
      </c>
      <c r="X65" s="26" t="s">
        <v>225</v>
      </c>
      <c r="Y65" s="26" t="s">
        <v>226</v>
      </c>
      <c r="Z65" s="26" t="s">
        <v>227</v>
      </c>
      <c r="AA65" s="26" t="s">
        <v>228</v>
      </c>
      <c r="AB65" s="26" t="s">
        <v>229</v>
      </c>
      <c r="AC65" s="26" t="s">
        <v>230</v>
      </c>
      <c r="AD65" s="26" t="s">
        <v>231</v>
      </c>
      <c r="AE65" s="26" t="s">
        <v>232</v>
      </c>
      <c r="AF65" s="26" t="s">
        <v>233</v>
      </c>
      <c r="AG65" s="26" t="s">
        <v>234</v>
      </c>
      <c r="AH65" s="26" t="s">
        <v>235</v>
      </c>
      <c r="AI65" s="26" t="s">
        <v>236</v>
      </c>
      <c r="AJ65" s="26" t="s">
        <v>237</v>
      </c>
      <c r="AK65" s="26" t="s">
        <v>238</v>
      </c>
      <c r="AL65" s="26" t="s">
        <v>239</v>
      </c>
      <c r="AM65" s="26" t="s">
        <v>240</v>
      </c>
      <c r="AN65" s="26" t="s">
        <v>241</v>
      </c>
      <c r="AO65" s="26" t="s">
        <v>242</v>
      </c>
      <c r="AP65" s="26" t="s">
        <v>243</v>
      </c>
      <c r="AQ65" s="26" t="s">
        <v>244</v>
      </c>
      <c r="AR65" s="26" t="s">
        <v>245</v>
      </c>
      <c r="AS65" s="26" t="s">
        <v>246</v>
      </c>
      <c r="AT65" s="26" t="s">
        <v>247</v>
      </c>
      <c r="AU65" s="26" t="s">
        <v>248</v>
      </c>
      <c r="AV65" s="26" t="s">
        <v>249</v>
      </c>
      <c r="AW65" s="26" t="s">
        <v>250</v>
      </c>
      <c r="AX65" s="26" t="s">
        <v>251</v>
      </c>
      <c r="AY65" s="26" t="s">
        <v>252</v>
      </c>
      <c r="AZ65" s="26" t="s">
        <v>253</v>
      </c>
      <c r="BA65" s="26" t="s">
        <v>254</v>
      </c>
      <c r="BB65" s="26" t="s">
        <v>255</v>
      </c>
      <c r="BC65" s="26" t="s">
        <v>256</v>
      </c>
      <c r="BD65" s="26" t="s">
        <v>257</v>
      </c>
      <c r="BE65" s="26" t="s">
        <v>258</v>
      </c>
      <c r="BF65" s="26" t="s">
        <v>259</v>
      </c>
      <c r="BG65" s="26" t="s">
        <v>260</v>
      </c>
      <c r="BH65" s="26" t="s">
        <v>261</v>
      </c>
      <c r="BI65" s="26" t="s">
        <v>262</v>
      </c>
      <c r="BJ65" s="26" t="s">
        <v>263</v>
      </c>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row>
    <row r="67" ht="15.75" customHeight="1">
      <c r="A67" s="1" t="s">
        <v>264</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ht="15.75" customHeight="1">
      <c r="A68" s="16" t="s">
        <v>265</v>
      </c>
      <c r="B68" s="16" t="s">
        <v>266</v>
      </c>
      <c r="C68" s="16" t="s">
        <v>266</v>
      </c>
      <c r="D68" s="16" t="s">
        <v>266</v>
      </c>
      <c r="E68" s="16" t="s">
        <v>266</v>
      </c>
      <c r="F68" s="16" t="s">
        <v>266</v>
      </c>
      <c r="G68" s="16" t="s">
        <v>266</v>
      </c>
      <c r="H68" s="16" t="s">
        <v>266</v>
      </c>
      <c r="I68" s="16" t="s">
        <v>266</v>
      </c>
      <c r="J68" s="16" t="s">
        <v>266</v>
      </c>
      <c r="K68" s="16" t="s">
        <v>266</v>
      </c>
      <c r="L68" s="16" t="s">
        <v>266</v>
      </c>
      <c r="M68" s="16" t="s">
        <v>266</v>
      </c>
      <c r="N68" s="16" t="s">
        <v>266</v>
      </c>
      <c r="O68" s="16" t="s">
        <v>266</v>
      </c>
      <c r="P68" s="16" t="s">
        <v>266</v>
      </c>
      <c r="Q68" s="16" t="s">
        <v>266</v>
      </c>
      <c r="R68" s="16" t="s">
        <v>266</v>
      </c>
      <c r="S68" s="16" t="s">
        <v>266</v>
      </c>
      <c r="T68" s="16" t="s">
        <v>266</v>
      </c>
      <c r="U68" s="16" t="s">
        <v>266</v>
      </c>
      <c r="V68" s="16" t="s">
        <v>266</v>
      </c>
      <c r="W68" s="16" t="s">
        <v>266</v>
      </c>
      <c r="X68" s="16" t="s">
        <v>266</v>
      </c>
      <c r="Y68" s="16" t="s">
        <v>266</v>
      </c>
      <c r="Z68" s="16" t="s">
        <v>266</v>
      </c>
      <c r="AA68" s="16" t="s">
        <v>266</v>
      </c>
      <c r="AB68" s="16" t="s">
        <v>266</v>
      </c>
      <c r="AC68" s="16" t="s">
        <v>266</v>
      </c>
      <c r="AD68" s="16" t="s">
        <v>266</v>
      </c>
      <c r="AE68" s="16" t="s">
        <v>266</v>
      </c>
      <c r="AF68" s="16" t="s">
        <v>266</v>
      </c>
      <c r="AG68" s="16" t="s">
        <v>266</v>
      </c>
      <c r="AH68" s="16" t="s">
        <v>266</v>
      </c>
      <c r="AI68" s="16" t="s">
        <v>266</v>
      </c>
      <c r="AJ68" s="16" t="s">
        <v>266</v>
      </c>
      <c r="AK68" s="16" t="s">
        <v>266</v>
      </c>
      <c r="AL68" s="16" t="s">
        <v>266</v>
      </c>
      <c r="AM68" s="16" t="s">
        <v>266</v>
      </c>
      <c r="AN68" s="16" t="s">
        <v>266</v>
      </c>
      <c r="AO68" s="16" t="s">
        <v>266</v>
      </c>
      <c r="AP68" s="16" t="s">
        <v>266</v>
      </c>
      <c r="AQ68" s="16" t="s">
        <v>266</v>
      </c>
      <c r="AR68" s="16" t="s">
        <v>266</v>
      </c>
      <c r="AS68" s="16" t="s">
        <v>266</v>
      </c>
      <c r="AT68" s="16" t="s">
        <v>266</v>
      </c>
      <c r="AU68" s="16" t="s">
        <v>266</v>
      </c>
      <c r="AV68" s="16" t="s">
        <v>266</v>
      </c>
      <c r="AW68" s="16" t="s">
        <v>266</v>
      </c>
      <c r="AX68" s="16" t="s">
        <v>266</v>
      </c>
      <c r="AY68" s="16" t="s">
        <v>266</v>
      </c>
      <c r="AZ68" s="16" t="s">
        <v>266</v>
      </c>
      <c r="BA68" s="16" t="s">
        <v>266</v>
      </c>
      <c r="BB68" s="16" t="s">
        <v>266</v>
      </c>
      <c r="BC68" s="16" t="s">
        <v>266</v>
      </c>
      <c r="BD68" s="16" t="s">
        <v>266</v>
      </c>
      <c r="BE68" s="16" t="s">
        <v>266</v>
      </c>
      <c r="BF68" s="16" t="s">
        <v>266</v>
      </c>
      <c r="BG68" s="16" t="s">
        <v>266</v>
      </c>
      <c r="BH68" s="16" t="s">
        <v>266</v>
      </c>
      <c r="BI68" s="16" t="s">
        <v>266</v>
      </c>
      <c r="BJ68" s="16" t="s">
        <v>266</v>
      </c>
    </row>
    <row r="69" ht="19.5" customHeight="1">
      <c r="A69" s="16" t="s">
        <v>267</v>
      </c>
      <c r="B69" s="27" t="s">
        <v>268</v>
      </c>
      <c r="C69" s="27" t="s">
        <v>268</v>
      </c>
      <c r="D69" s="27" t="s">
        <v>268</v>
      </c>
      <c r="E69" s="27" t="s">
        <v>268</v>
      </c>
      <c r="F69" s="27" t="s">
        <v>268</v>
      </c>
      <c r="G69" s="27" t="s">
        <v>268</v>
      </c>
      <c r="H69" s="27" t="s">
        <v>268</v>
      </c>
      <c r="I69" s="27" t="s">
        <v>268</v>
      </c>
      <c r="J69" s="27" t="s">
        <v>268</v>
      </c>
      <c r="K69" s="27" t="s">
        <v>268</v>
      </c>
      <c r="L69" s="27" t="s">
        <v>268</v>
      </c>
      <c r="M69" s="27" t="s">
        <v>268</v>
      </c>
      <c r="N69" s="27" t="s">
        <v>268</v>
      </c>
      <c r="O69" s="27" t="s">
        <v>268</v>
      </c>
      <c r="P69" s="27" t="s">
        <v>268</v>
      </c>
      <c r="Q69" s="27" t="s">
        <v>268</v>
      </c>
      <c r="R69" s="27" t="s">
        <v>268</v>
      </c>
      <c r="S69" s="27" t="s">
        <v>268</v>
      </c>
      <c r="T69" s="27" t="s">
        <v>268</v>
      </c>
      <c r="U69" s="27" t="s">
        <v>268</v>
      </c>
      <c r="V69" s="27" t="s">
        <v>268</v>
      </c>
      <c r="W69" s="27" t="s">
        <v>268</v>
      </c>
      <c r="X69" s="27" t="s">
        <v>268</v>
      </c>
      <c r="Y69" s="27" t="s">
        <v>268</v>
      </c>
      <c r="Z69" s="27" t="s">
        <v>268</v>
      </c>
      <c r="AA69" s="27" t="s">
        <v>268</v>
      </c>
      <c r="AB69" s="27" t="s">
        <v>268</v>
      </c>
      <c r="AC69" s="27" t="s">
        <v>268</v>
      </c>
      <c r="AD69" s="27" t="s">
        <v>268</v>
      </c>
      <c r="AE69" s="27" t="s">
        <v>268</v>
      </c>
      <c r="AF69" s="27" t="s">
        <v>268</v>
      </c>
      <c r="AG69" s="27" t="s">
        <v>268</v>
      </c>
      <c r="AH69" s="27" t="s">
        <v>268</v>
      </c>
      <c r="AI69" s="27" t="s">
        <v>268</v>
      </c>
      <c r="AJ69" s="27" t="s">
        <v>268</v>
      </c>
      <c r="AK69" s="27" t="s">
        <v>268</v>
      </c>
      <c r="AL69" s="27" t="s">
        <v>268</v>
      </c>
      <c r="AM69" s="27" t="s">
        <v>268</v>
      </c>
      <c r="AN69" s="27" t="s">
        <v>268</v>
      </c>
      <c r="AO69" s="27" t="s">
        <v>268</v>
      </c>
      <c r="AP69" s="27" t="s">
        <v>268</v>
      </c>
      <c r="AQ69" s="27" t="s">
        <v>268</v>
      </c>
      <c r="AR69" s="27" t="s">
        <v>268</v>
      </c>
      <c r="AS69" s="27" t="s">
        <v>268</v>
      </c>
      <c r="AT69" s="27" t="s">
        <v>268</v>
      </c>
      <c r="AU69" s="27" t="s">
        <v>268</v>
      </c>
      <c r="AV69" s="27" t="s">
        <v>268</v>
      </c>
      <c r="AW69" s="27" t="s">
        <v>268</v>
      </c>
      <c r="AX69" s="27" t="s">
        <v>268</v>
      </c>
      <c r="AY69" s="27" t="s">
        <v>268</v>
      </c>
      <c r="AZ69" s="27" t="s">
        <v>268</v>
      </c>
      <c r="BA69" s="27" t="s">
        <v>268</v>
      </c>
      <c r="BB69" s="27" t="s">
        <v>268</v>
      </c>
      <c r="BC69" s="27" t="s">
        <v>268</v>
      </c>
      <c r="BD69" s="27" t="s">
        <v>268</v>
      </c>
      <c r="BE69" s="27" t="s">
        <v>268</v>
      </c>
      <c r="BF69" s="27" t="s">
        <v>268</v>
      </c>
      <c r="BG69" s="27" t="s">
        <v>268</v>
      </c>
      <c r="BH69" s="27" t="s">
        <v>268</v>
      </c>
      <c r="BI69" s="27" t="s">
        <v>268</v>
      </c>
      <c r="BJ69" s="27" t="s">
        <v>268</v>
      </c>
    </row>
    <row r="70" ht="19.5" customHeight="1">
      <c r="A70" s="16" t="s">
        <v>269</v>
      </c>
      <c r="B70" s="27" t="s">
        <v>270</v>
      </c>
      <c r="C70" s="27" t="s">
        <v>270</v>
      </c>
      <c r="D70" s="27" t="s">
        <v>270</v>
      </c>
      <c r="E70" s="27" t="s">
        <v>270</v>
      </c>
      <c r="F70" s="27" t="s">
        <v>270</v>
      </c>
      <c r="G70" s="27" t="s">
        <v>270</v>
      </c>
      <c r="H70" s="27" t="s">
        <v>270</v>
      </c>
      <c r="I70" s="27" t="s">
        <v>270</v>
      </c>
      <c r="J70" s="27" t="s">
        <v>270</v>
      </c>
      <c r="K70" s="27" t="s">
        <v>270</v>
      </c>
      <c r="L70" s="27" t="s">
        <v>270</v>
      </c>
      <c r="M70" s="27" t="s">
        <v>270</v>
      </c>
      <c r="N70" s="27" t="s">
        <v>270</v>
      </c>
      <c r="O70" s="27" t="s">
        <v>270</v>
      </c>
      <c r="P70" s="27" t="s">
        <v>270</v>
      </c>
      <c r="Q70" s="27" t="s">
        <v>270</v>
      </c>
      <c r="R70" s="27" t="s">
        <v>270</v>
      </c>
      <c r="S70" s="27" t="s">
        <v>270</v>
      </c>
      <c r="T70" s="27" t="s">
        <v>270</v>
      </c>
      <c r="U70" s="27" t="s">
        <v>270</v>
      </c>
      <c r="V70" s="27" t="s">
        <v>270</v>
      </c>
      <c r="W70" s="27" t="s">
        <v>270</v>
      </c>
      <c r="X70" s="27" t="s">
        <v>270</v>
      </c>
      <c r="Y70" s="27" t="s">
        <v>270</v>
      </c>
      <c r="Z70" s="27" t="s">
        <v>270</v>
      </c>
      <c r="AA70" s="27" t="s">
        <v>270</v>
      </c>
      <c r="AB70" s="27" t="s">
        <v>270</v>
      </c>
      <c r="AC70" s="27" t="s">
        <v>270</v>
      </c>
      <c r="AD70" s="27" t="s">
        <v>270</v>
      </c>
      <c r="AE70" s="27" t="s">
        <v>270</v>
      </c>
      <c r="AF70" s="27" t="s">
        <v>270</v>
      </c>
      <c r="AG70" s="27" t="s">
        <v>270</v>
      </c>
      <c r="AH70" s="27" t="s">
        <v>270</v>
      </c>
      <c r="AI70" s="27" t="s">
        <v>270</v>
      </c>
      <c r="AJ70" s="27" t="s">
        <v>270</v>
      </c>
      <c r="AK70" s="27" t="s">
        <v>270</v>
      </c>
      <c r="AL70" s="27" t="s">
        <v>270</v>
      </c>
      <c r="AM70" s="27" t="s">
        <v>270</v>
      </c>
      <c r="AN70" s="27" t="s">
        <v>270</v>
      </c>
      <c r="AO70" s="27" t="s">
        <v>270</v>
      </c>
      <c r="AP70" s="27" t="s">
        <v>270</v>
      </c>
      <c r="AQ70" s="27" t="s">
        <v>270</v>
      </c>
      <c r="AR70" s="27" t="s">
        <v>270</v>
      </c>
      <c r="AS70" s="27" t="s">
        <v>270</v>
      </c>
      <c r="AT70" s="27" t="s">
        <v>270</v>
      </c>
      <c r="AU70" s="27" t="s">
        <v>270</v>
      </c>
      <c r="AV70" s="27" t="s">
        <v>270</v>
      </c>
      <c r="AW70" s="27" t="s">
        <v>270</v>
      </c>
      <c r="AX70" s="27" t="s">
        <v>270</v>
      </c>
      <c r="AY70" s="27" t="s">
        <v>270</v>
      </c>
      <c r="AZ70" s="27" t="s">
        <v>270</v>
      </c>
      <c r="BA70" s="27" t="s">
        <v>270</v>
      </c>
      <c r="BB70" s="27" t="s">
        <v>270</v>
      </c>
      <c r="BC70" s="27" t="s">
        <v>270</v>
      </c>
      <c r="BD70" s="27" t="s">
        <v>270</v>
      </c>
      <c r="BE70" s="27" t="s">
        <v>270</v>
      </c>
      <c r="BF70" s="27" t="s">
        <v>270</v>
      </c>
      <c r="BG70" s="27" t="s">
        <v>270</v>
      </c>
      <c r="BH70" s="27" t="s">
        <v>270</v>
      </c>
      <c r="BI70" s="27" t="s">
        <v>270</v>
      </c>
      <c r="BJ70" s="27" t="s">
        <v>270</v>
      </c>
    </row>
    <row r="71" ht="19.5" customHeight="1">
      <c r="A71" s="28" t="s">
        <v>271</v>
      </c>
      <c r="B71" s="27" t="s">
        <v>272</v>
      </c>
      <c r="C71" s="27" t="s">
        <v>272</v>
      </c>
      <c r="D71" s="27" t="s">
        <v>272</v>
      </c>
      <c r="E71" s="27" t="s">
        <v>272</v>
      </c>
      <c r="F71" s="27" t="s">
        <v>272</v>
      </c>
      <c r="G71" s="27" t="s">
        <v>272</v>
      </c>
      <c r="H71" s="27" t="s">
        <v>272</v>
      </c>
      <c r="I71" s="27" t="s">
        <v>272</v>
      </c>
      <c r="J71" s="27" t="s">
        <v>272</v>
      </c>
      <c r="K71" s="27" t="s">
        <v>272</v>
      </c>
      <c r="L71" s="27" t="s">
        <v>272</v>
      </c>
      <c r="M71" s="27" t="s">
        <v>272</v>
      </c>
      <c r="N71" s="27" t="s">
        <v>272</v>
      </c>
      <c r="O71" s="27" t="s">
        <v>272</v>
      </c>
      <c r="P71" s="27" t="s">
        <v>272</v>
      </c>
      <c r="Q71" s="27" t="s">
        <v>272</v>
      </c>
      <c r="R71" s="27" t="s">
        <v>272</v>
      </c>
      <c r="S71" s="27" t="s">
        <v>272</v>
      </c>
      <c r="T71" s="27" t="s">
        <v>272</v>
      </c>
      <c r="U71" s="27" t="s">
        <v>272</v>
      </c>
      <c r="V71" s="27" t="s">
        <v>272</v>
      </c>
      <c r="W71" s="27" t="s">
        <v>272</v>
      </c>
      <c r="X71" s="27" t="s">
        <v>272</v>
      </c>
      <c r="Y71" s="27" t="s">
        <v>272</v>
      </c>
      <c r="Z71" s="27" t="s">
        <v>272</v>
      </c>
      <c r="AA71" s="27" t="s">
        <v>272</v>
      </c>
      <c r="AB71" s="27" t="s">
        <v>272</v>
      </c>
      <c r="AC71" s="27" t="s">
        <v>272</v>
      </c>
      <c r="AD71" s="27" t="s">
        <v>272</v>
      </c>
      <c r="AE71" s="27" t="s">
        <v>272</v>
      </c>
      <c r="AF71" s="27" t="s">
        <v>272</v>
      </c>
      <c r="AG71" s="27" t="s">
        <v>272</v>
      </c>
      <c r="AH71" s="27" t="s">
        <v>272</v>
      </c>
      <c r="AI71" s="27" t="s">
        <v>272</v>
      </c>
      <c r="AJ71" s="27" t="s">
        <v>272</v>
      </c>
      <c r="AK71" s="27" t="s">
        <v>272</v>
      </c>
      <c r="AL71" s="27" t="s">
        <v>272</v>
      </c>
      <c r="AM71" s="27" t="s">
        <v>272</v>
      </c>
      <c r="AN71" s="27" t="s">
        <v>272</v>
      </c>
      <c r="AO71" s="27" t="s">
        <v>272</v>
      </c>
      <c r="AP71" s="27" t="s">
        <v>272</v>
      </c>
      <c r="AQ71" s="27" t="s">
        <v>272</v>
      </c>
      <c r="AR71" s="27" t="s">
        <v>272</v>
      </c>
      <c r="AS71" s="27" t="s">
        <v>272</v>
      </c>
      <c r="AT71" s="27" t="s">
        <v>272</v>
      </c>
      <c r="AU71" s="27" t="s">
        <v>272</v>
      </c>
      <c r="AV71" s="27" t="s">
        <v>272</v>
      </c>
      <c r="AW71" s="27" t="s">
        <v>272</v>
      </c>
      <c r="AX71" s="27" t="s">
        <v>272</v>
      </c>
      <c r="AY71" s="27" t="s">
        <v>272</v>
      </c>
      <c r="AZ71" s="27" t="s">
        <v>272</v>
      </c>
      <c r="BA71" s="27" t="s">
        <v>272</v>
      </c>
      <c r="BB71" s="27" t="s">
        <v>272</v>
      </c>
      <c r="BC71" s="27" t="s">
        <v>272</v>
      </c>
      <c r="BD71" s="27" t="s">
        <v>272</v>
      </c>
      <c r="BE71" s="27" t="s">
        <v>272</v>
      </c>
      <c r="BF71" s="27" t="s">
        <v>272</v>
      </c>
      <c r="BG71" s="27" t="s">
        <v>272</v>
      </c>
      <c r="BH71" s="27" t="s">
        <v>272</v>
      </c>
      <c r="BI71" s="27" t="s">
        <v>272</v>
      </c>
      <c r="BJ71" s="27" t="s">
        <v>272</v>
      </c>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c r="BI202" s="29"/>
      <c r="BJ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c r="BI204" s="29"/>
      <c r="BJ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c r="BI208" s="29"/>
      <c r="BJ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c r="BI260" s="29"/>
      <c r="BJ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c r="BI264" s="29"/>
      <c r="BJ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c r="BI286" s="29"/>
      <c r="BJ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c r="BI288" s="29"/>
      <c r="BJ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c r="BC290" s="29"/>
      <c r="BD290" s="29"/>
      <c r="BE290" s="29"/>
      <c r="BF290" s="29"/>
      <c r="BG290" s="29"/>
      <c r="BH290" s="29"/>
      <c r="BI290" s="29"/>
      <c r="BJ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c r="BI292" s="29"/>
      <c r="BJ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c r="BI294" s="29"/>
      <c r="BJ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c r="BG296" s="29"/>
      <c r="BH296" s="29"/>
      <c r="BI296" s="29"/>
      <c r="BJ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c r="BI298" s="29"/>
      <c r="BJ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c r="BI300" s="29"/>
      <c r="BJ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c r="BI303" s="29"/>
      <c r="BJ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c r="BI304" s="29"/>
      <c r="BJ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c r="BC306" s="29"/>
      <c r="BD306" s="29"/>
      <c r="BE306" s="29"/>
      <c r="BF306" s="29"/>
      <c r="BG306" s="29"/>
      <c r="BH306" s="29"/>
      <c r="BI306" s="29"/>
      <c r="BJ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c r="BI308" s="29"/>
      <c r="BJ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c r="BI309" s="29"/>
      <c r="BJ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c r="BC312" s="29"/>
      <c r="BD312" s="29"/>
      <c r="BE312" s="29"/>
      <c r="BF312" s="29"/>
      <c r="BG312" s="29"/>
      <c r="BH312" s="29"/>
      <c r="BI312" s="29"/>
      <c r="BJ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c r="BC314" s="29"/>
      <c r="BD314" s="29"/>
      <c r="BE314" s="29"/>
      <c r="BF314" s="29"/>
      <c r="BG314" s="29"/>
      <c r="BH314" s="29"/>
      <c r="BI314" s="29"/>
      <c r="BJ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c r="BI315" s="29"/>
      <c r="BJ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c r="BC316" s="29"/>
      <c r="BD316" s="29"/>
      <c r="BE316" s="29"/>
      <c r="BF316" s="29"/>
      <c r="BG316" s="29"/>
      <c r="BH316" s="29"/>
      <c r="BI316" s="29"/>
      <c r="BJ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c r="BG318" s="29"/>
      <c r="BH318" s="29"/>
      <c r="BI318" s="29"/>
      <c r="BJ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c r="BI319" s="29"/>
      <c r="BJ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c r="BG320" s="29"/>
      <c r="BH320" s="29"/>
      <c r="BI320" s="29"/>
      <c r="BJ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c r="BI321" s="29"/>
      <c r="BJ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c r="AY322" s="29"/>
      <c r="AZ322" s="29"/>
      <c r="BA322" s="29"/>
      <c r="BB322" s="29"/>
      <c r="BC322" s="29"/>
      <c r="BD322" s="29"/>
      <c r="BE322" s="29"/>
      <c r="BF322" s="29"/>
      <c r="BG322" s="29"/>
      <c r="BH322" s="29"/>
      <c r="BI322" s="29"/>
      <c r="BJ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c r="BI323" s="29"/>
      <c r="BJ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c r="AY324" s="29"/>
      <c r="AZ324" s="29"/>
      <c r="BA324" s="29"/>
      <c r="BB324" s="29"/>
      <c r="BC324" s="29"/>
      <c r="BD324" s="29"/>
      <c r="BE324" s="29"/>
      <c r="BF324" s="29"/>
      <c r="BG324" s="29"/>
      <c r="BH324" s="29"/>
      <c r="BI324" s="29"/>
      <c r="BJ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c r="AY326" s="29"/>
      <c r="AZ326" s="29"/>
      <c r="BA326" s="29"/>
      <c r="BB326" s="29"/>
      <c r="BC326" s="29"/>
      <c r="BD326" s="29"/>
      <c r="BE326" s="29"/>
      <c r="BF326" s="29"/>
      <c r="BG326" s="29"/>
      <c r="BH326" s="29"/>
      <c r="BI326" s="29"/>
      <c r="BJ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c r="BI327" s="29"/>
      <c r="BJ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c r="BC328" s="29"/>
      <c r="BD328" s="29"/>
      <c r="BE328" s="29"/>
      <c r="BF328" s="29"/>
      <c r="BG328" s="29"/>
      <c r="BH328" s="29"/>
      <c r="BI328" s="29"/>
      <c r="BJ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c r="AY330" s="29"/>
      <c r="AZ330" s="29"/>
      <c r="BA330" s="29"/>
      <c r="BB330" s="29"/>
      <c r="BC330" s="29"/>
      <c r="BD330" s="29"/>
      <c r="BE330" s="29"/>
      <c r="BF330" s="29"/>
      <c r="BG330" s="29"/>
      <c r="BH330" s="29"/>
      <c r="BI330" s="29"/>
      <c r="BJ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29"/>
      <c r="BG332" s="29"/>
      <c r="BH332" s="29"/>
      <c r="BI332" s="29"/>
      <c r="BJ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c r="BC334" s="29"/>
      <c r="BD334" s="29"/>
      <c r="BE334" s="29"/>
      <c r="BF334" s="29"/>
      <c r="BG334" s="29"/>
      <c r="BH334" s="29"/>
      <c r="BI334" s="29"/>
      <c r="BJ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c r="BE336" s="29"/>
      <c r="BF336" s="29"/>
      <c r="BG336" s="29"/>
      <c r="BH336" s="29"/>
      <c r="BI336" s="29"/>
      <c r="BJ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c r="BC338" s="29"/>
      <c r="BD338" s="29"/>
      <c r="BE338" s="29"/>
      <c r="BF338" s="29"/>
      <c r="BG338" s="29"/>
      <c r="BH338" s="29"/>
      <c r="BI338" s="29"/>
      <c r="BJ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c r="BG340" s="29"/>
      <c r="BH340" s="29"/>
      <c r="BI340" s="29"/>
      <c r="BJ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c r="BC348" s="29"/>
      <c r="BD348" s="29"/>
      <c r="BE348" s="29"/>
      <c r="BF348" s="29"/>
      <c r="BG348" s="29"/>
      <c r="BH348" s="29"/>
      <c r="BI348" s="29"/>
      <c r="BJ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c r="BI349" s="29"/>
      <c r="BJ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c r="BI351" s="29"/>
      <c r="BJ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c r="BI353" s="29"/>
      <c r="BJ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c r="BI356" s="29"/>
      <c r="BJ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c r="AY362" s="29"/>
      <c r="AZ362" s="29"/>
      <c r="BA362" s="29"/>
      <c r="BB362" s="29"/>
      <c r="BC362" s="29"/>
      <c r="BD362" s="29"/>
      <c r="BE362" s="29"/>
      <c r="BF362" s="29"/>
      <c r="BG362" s="29"/>
      <c r="BH362" s="29"/>
      <c r="BI362" s="29"/>
      <c r="BJ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c r="BI363" s="29"/>
      <c r="BJ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c r="AY366" s="29"/>
      <c r="AZ366" s="29"/>
      <c r="BA366" s="29"/>
      <c r="BB366" s="29"/>
      <c r="BC366" s="29"/>
      <c r="BD366" s="29"/>
      <c r="BE366" s="29"/>
      <c r="BF366" s="29"/>
      <c r="BG366" s="29"/>
      <c r="BH366" s="29"/>
      <c r="BI366" s="29"/>
      <c r="BJ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c r="BC368" s="29"/>
      <c r="BD368" s="29"/>
      <c r="BE368" s="29"/>
      <c r="BF368" s="29"/>
      <c r="BG368" s="29"/>
      <c r="BH368" s="29"/>
      <c r="BI368" s="29"/>
      <c r="BJ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c r="BC372" s="29"/>
      <c r="BD372" s="29"/>
      <c r="BE372" s="29"/>
      <c r="BF372" s="29"/>
      <c r="BG372" s="29"/>
      <c r="BH372" s="29"/>
      <c r="BI372" s="29"/>
      <c r="BJ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c r="BG374" s="29"/>
      <c r="BH374" s="29"/>
      <c r="BI374" s="29"/>
      <c r="BJ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c r="BI376" s="29"/>
      <c r="BJ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c r="BG378" s="29"/>
      <c r="BH378" s="29"/>
      <c r="BI378" s="29"/>
      <c r="BJ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c r="BC380" s="29"/>
      <c r="BD380" s="29"/>
      <c r="BE380" s="29"/>
      <c r="BF380" s="29"/>
      <c r="BG380" s="29"/>
      <c r="BH380" s="29"/>
      <c r="BI380" s="29"/>
      <c r="BJ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c r="BC382" s="29"/>
      <c r="BD382" s="29"/>
      <c r="BE382" s="29"/>
      <c r="BF382" s="29"/>
      <c r="BG382" s="29"/>
      <c r="BH382" s="29"/>
      <c r="BI382" s="29"/>
      <c r="BJ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c r="BC384" s="29"/>
      <c r="BD384" s="29"/>
      <c r="BE384" s="29"/>
      <c r="BF384" s="29"/>
      <c r="BG384" s="29"/>
      <c r="BH384" s="29"/>
      <c r="BI384" s="29"/>
      <c r="BJ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c r="BC386" s="29"/>
      <c r="BD386" s="29"/>
      <c r="BE386" s="29"/>
      <c r="BF386" s="29"/>
      <c r="BG386" s="29"/>
      <c r="BH386" s="29"/>
      <c r="BI386" s="29"/>
      <c r="BJ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c r="BG388" s="29"/>
      <c r="BH388" s="29"/>
      <c r="BI388" s="29"/>
      <c r="BJ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c r="BG390" s="29"/>
      <c r="BH390" s="29"/>
      <c r="BI390" s="29"/>
      <c r="BJ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c r="BC398" s="29"/>
      <c r="BD398" s="29"/>
      <c r="BE398" s="29"/>
      <c r="BF398" s="29"/>
      <c r="BG398" s="29"/>
      <c r="BH398" s="29"/>
      <c r="BI398" s="29"/>
      <c r="BJ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c r="BC400" s="29"/>
      <c r="BD400" s="29"/>
      <c r="BE400" s="29"/>
      <c r="BF400" s="29"/>
      <c r="BG400" s="29"/>
      <c r="BH400" s="29"/>
      <c r="BI400" s="29"/>
      <c r="BJ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c r="AY402" s="29"/>
      <c r="AZ402" s="29"/>
      <c r="BA402" s="29"/>
      <c r="BB402" s="29"/>
      <c r="BC402" s="29"/>
      <c r="BD402" s="29"/>
      <c r="BE402" s="29"/>
      <c r="BF402" s="29"/>
      <c r="BG402" s="29"/>
      <c r="BH402" s="29"/>
      <c r="BI402" s="29"/>
      <c r="BJ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c r="BI403" s="29"/>
      <c r="BJ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c r="AY404" s="29"/>
      <c r="AZ404" s="29"/>
      <c r="BA404" s="29"/>
      <c r="BB404" s="29"/>
      <c r="BC404" s="29"/>
      <c r="BD404" s="29"/>
      <c r="BE404" s="29"/>
      <c r="BF404" s="29"/>
      <c r="BG404" s="29"/>
      <c r="BH404" s="29"/>
      <c r="BI404" s="29"/>
      <c r="BJ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c r="AY406" s="29"/>
      <c r="AZ406" s="29"/>
      <c r="BA406" s="29"/>
      <c r="BB406" s="29"/>
      <c r="BC406" s="29"/>
      <c r="BD406" s="29"/>
      <c r="BE406" s="29"/>
      <c r="BF406" s="29"/>
      <c r="BG406" s="29"/>
      <c r="BH406" s="29"/>
      <c r="BI406" s="29"/>
      <c r="BJ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c r="AY408" s="29"/>
      <c r="AZ408" s="29"/>
      <c r="BA408" s="29"/>
      <c r="BB408" s="29"/>
      <c r="BC408" s="29"/>
      <c r="BD408" s="29"/>
      <c r="BE408" s="29"/>
      <c r="BF408" s="29"/>
      <c r="BG408" s="29"/>
      <c r="BH408" s="29"/>
      <c r="BI408" s="29"/>
      <c r="BJ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c r="BI409" s="29"/>
      <c r="BJ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c r="BC410" s="29"/>
      <c r="BD410" s="29"/>
      <c r="BE410" s="29"/>
      <c r="BF410" s="29"/>
      <c r="BG410" s="29"/>
      <c r="BH410" s="29"/>
      <c r="BI410" s="29"/>
      <c r="BJ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c r="BI411" s="29"/>
      <c r="BJ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c r="AY412" s="29"/>
      <c r="AZ412" s="29"/>
      <c r="BA412" s="29"/>
      <c r="BB412" s="29"/>
      <c r="BC412" s="29"/>
      <c r="BD412" s="29"/>
      <c r="BE412" s="29"/>
      <c r="BF412" s="29"/>
      <c r="BG412" s="29"/>
      <c r="BH412" s="29"/>
      <c r="BI412" s="29"/>
      <c r="BJ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c r="BI413" s="29"/>
      <c r="BJ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c r="AY414" s="29"/>
      <c r="AZ414" s="29"/>
      <c r="BA414" s="29"/>
      <c r="BB414" s="29"/>
      <c r="BC414" s="29"/>
      <c r="BD414" s="29"/>
      <c r="BE414" s="29"/>
      <c r="BF414" s="29"/>
      <c r="BG414" s="29"/>
      <c r="BH414" s="29"/>
      <c r="BI414" s="29"/>
      <c r="BJ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c r="BI415" s="29"/>
      <c r="BJ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c r="BC416" s="29"/>
      <c r="BD416" s="29"/>
      <c r="BE416" s="29"/>
      <c r="BF416" s="29"/>
      <c r="BG416" s="29"/>
      <c r="BH416" s="29"/>
      <c r="BI416" s="29"/>
      <c r="BJ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c r="BG418" s="29"/>
      <c r="BH418" s="29"/>
      <c r="BI418" s="29"/>
      <c r="BJ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c r="BG420" s="29"/>
      <c r="BH420" s="29"/>
      <c r="BI420" s="29"/>
      <c r="BJ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c r="BJ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c r="BC422" s="29"/>
      <c r="BD422" s="29"/>
      <c r="BE422" s="29"/>
      <c r="BF422" s="29"/>
      <c r="BG422" s="29"/>
      <c r="BH422" s="29"/>
      <c r="BI422" s="29"/>
      <c r="BJ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c r="AY424" s="29"/>
      <c r="AZ424" s="29"/>
      <c r="BA424" s="29"/>
      <c r="BB424" s="29"/>
      <c r="BC424" s="29"/>
      <c r="BD424" s="29"/>
      <c r="BE424" s="29"/>
      <c r="BF424" s="29"/>
      <c r="BG424" s="29"/>
      <c r="BH424" s="29"/>
      <c r="BI424" s="29"/>
      <c r="BJ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c r="AY426" s="29"/>
      <c r="AZ426" s="29"/>
      <c r="BA426" s="29"/>
      <c r="BB426" s="29"/>
      <c r="BC426" s="29"/>
      <c r="BD426" s="29"/>
      <c r="BE426" s="29"/>
      <c r="BF426" s="29"/>
      <c r="BG426" s="29"/>
      <c r="BH426" s="29"/>
      <c r="BI426" s="29"/>
      <c r="BJ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c r="BG428" s="29"/>
      <c r="BH428" s="29"/>
      <c r="BI428" s="29"/>
      <c r="BJ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c r="BI430" s="29"/>
      <c r="BJ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c r="BC432" s="29"/>
      <c r="BD432" s="29"/>
      <c r="BE432" s="29"/>
      <c r="BF432" s="29"/>
      <c r="BG432" s="29"/>
      <c r="BH432" s="29"/>
      <c r="BI432" s="29"/>
      <c r="BJ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c r="AY434" s="29"/>
      <c r="AZ434" s="29"/>
      <c r="BA434" s="29"/>
      <c r="BB434" s="29"/>
      <c r="BC434" s="29"/>
      <c r="BD434" s="29"/>
      <c r="BE434" s="29"/>
      <c r="BF434" s="29"/>
      <c r="BG434" s="29"/>
      <c r="BH434" s="29"/>
      <c r="BI434" s="29"/>
      <c r="BJ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c r="BI435" s="29"/>
      <c r="BJ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c r="AY436" s="29"/>
      <c r="AZ436" s="29"/>
      <c r="BA436" s="29"/>
      <c r="BB436" s="29"/>
      <c r="BC436" s="29"/>
      <c r="BD436" s="29"/>
      <c r="BE436" s="29"/>
      <c r="BF436" s="29"/>
      <c r="BG436" s="29"/>
      <c r="BH436" s="29"/>
      <c r="BI436" s="29"/>
      <c r="BJ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c r="BI437" s="29"/>
      <c r="BJ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c r="AY438" s="29"/>
      <c r="AZ438" s="29"/>
      <c r="BA438" s="29"/>
      <c r="BB438" s="29"/>
      <c r="BC438" s="29"/>
      <c r="BD438" s="29"/>
      <c r="BE438" s="29"/>
      <c r="BF438" s="29"/>
      <c r="BG438" s="29"/>
      <c r="BH438" s="29"/>
      <c r="BI438" s="29"/>
      <c r="BJ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c r="BI439" s="29"/>
      <c r="BJ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c r="AY440" s="29"/>
      <c r="AZ440" s="29"/>
      <c r="BA440" s="29"/>
      <c r="BB440" s="29"/>
      <c r="BC440" s="29"/>
      <c r="BD440" s="29"/>
      <c r="BE440" s="29"/>
      <c r="BF440" s="29"/>
      <c r="BG440" s="29"/>
      <c r="BH440" s="29"/>
      <c r="BI440" s="29"/>
      <c r="BJ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c r="BI441" s="29"/>
      <c r="BJ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c r="AY442" s="29"/>
      <c r="AZ442" s="29"/>
      <c r="BA442" s="29"/>
      <c r="BB442" s="29"/>
      <c r="BC442" s="29"/>
      <c r="BD442" s="29"/>
      <c r="BE442" s="29"/>
      <c r="BF442" s="29"/>
      <c r="BG442" s="29"/>
      <c r="BH442" s="29"/>
      <c r="BI442" s="29"/>
      <c r="BJ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c r="BI443" s="29"/>
      <c r="BJ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c r="AY444" s="29"/>
      <c r="AZ444" s="29"/>
      <c r="BA444" s="29"/>
      <c r="BB444" s="29"/>
      <c r="BC444" s="29"/>
      <c r="BD444" s="29"/>
      <c r="BE444" s="29"/>
      <c r="BF444" s="29"/>
      <c r="BG444" s="29"/>
      <c r="BH444" s="29"/>
      <c r="BI444" s="29"/>
      <c r="BJ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c r="BI445" s="29"/>
      <c r="BJ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c r="AY446" s="29"/>
      <c r="AZ446" s="29"/>
      <c r="BA446" s="29"/>
      <c r="BB446" s="29"/>
      <c r="BC446" s="29"/>
      <c r="BD446" s="29"/>
      <c r="BE446" s="29"/>
      <c r="BF446" s="29"/>
      <c r="BG446" s="29"/>
      <c r="BH446" s="29"/>
      <c r="BI446" s="29"/>
      <c r="BJ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c r="BI447" s="29"/>
      <c r="BJ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c r="AY448" s="29"/>
      <c r="AZ448" s="29"/>
      <c r="BA448" s="29"/>
      <c r="BB448" s="29"/>
      <c r="BC448" s="29"/>
      <c r="BD448" s="29"/>
      <c r="BE448" s="29"/>
      <c r="BF448" s="29"/>
      <c r="BG448" s="29"/>
      <c r="BH448" s="29"/>
      <c r="BI448" s="29"/>
      <c r="BJ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c r="BI449" s="29"/>
      <c r="BJ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c r="AY450" s="29"/>
      <c r="AZ450" s="29"/>
      <c r="BA450" s="29"/>
      <c r="BB450" s="29"/>
      <c r="BC450" s="29"/>
      <c r="BD450" s="29"/>
      <c r="BE450" s="29"/>
      <c r="BF450" s="29"/>
      <c r="BG450" s="29"/>
      <c r="BH450" s="29"/>
      <c r="BI450" s="29"/>
      <c r="BJ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c r="BI451" s="29"/>
      <c r="BJ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c r="AY452" s="29"/>
      <c r="AZ452" s="29"/>
      <c r="BA452" s="29"/>
      <c r="BB452" s="29"/>
      <c r="BC452" s="29"/>
      <c r="BD452" s="29"/>
      <c r="BE452" s="29"/>
      <c r="BF452" s="29"/>
      <c r="BG452" s="29"/>
      <c r="BH452" s="29"/>
      <c r="BI452" s="29"/>
      <c r="BJ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c r="BI454" s="29"/>
      <c r="BJ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9"/>
      <c r="BH458" s="29"/>
      <c r="BI458" s="29"/>
      <c r="BJ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c r="AY460" s="29"/>
      <c r="AZ460" s="29"/>
      <c r="BA460" s="29"/>
      <c r="BB460" s="29"/>
      <c r="BC460" s="29"/>
      <c r="BD460" s="29"/>
      <c r="BE460" s="29"/>
      <c r="BF460" s="29"/>
      <c r="BG460" s="29"/>
      <c r="BH460" s="29"/>
      <c r="BI460" s="29"/>
      <c r="BJ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c r="BI461" s="29"/>
      <c r="BJ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c r="AY462" s="29"/>
      <c r="AZ462" s="29"/>
      <c r="BA462" s="29"/>
      <c r="BB462" s="29"/>
      <c r="BC462" s="29"/>
      <c r="BD462" s="29"/>
      <c r="BE462" s="29"/>
      <c r="BF462" s="29"/>
      <c r="BG462" s="29"/>
      <c r="BH462" s="29"/>
      <c r="BI462" s="29"/>
      <c r="BJ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c r="BI463" s="29"/>
      <c r="BJ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c r="AY464" s="29"/>
      <c r="AZ464" s="29"/>
      <c r="BA464" s="29"/>
      <c r="BB464" s="29"/>
      <c r="BC464" s="29"/>
      <c r="BD464" s="29"/>
      <c r="BE464" s="29"/>
      <c r="BF464" s="29"/>
      <c r="BG464" s="29"/>
      <c r="BH464" s="29"/>
      <c r="BI464" s="29"/>
      <c r="BJ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c r="AY466" s="29"/>
      <c r="AZ466" s="29"/>
      <c r="BA466" s="29"/>
      <c r="BB466" s="29"/>
      <c r="BC466" s="29"/>
      <c r="BD466" s="29"/>
      <c r="BE466" s="29"/>
      <c r="BF466" s="29"/>
      <c r="BG466" s="29"/>
      <c r="BH466" s="29"/>
      <c r="BI466" s="29"/>
      <c r="BJ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c r="BI467" s="29"/>
      <c r="BJ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c r="AY468" s="29"/>
      <c r="AZ468" s="29"/>
      <c r="BA468" s="29"/>
      <c r="BB468" s="29"/>
      <c r="BC468" s="29"/>
      <c r="BD468" s="29"/>
      <c r="BE468" s="29"/>
      <c r="BF468" s="29"/>
      <c r="BG468" s="29"/>
      <c r="BH468" s="29"/>
      <c r="BI468" s="29"/>
      <c r="BJ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c r="BI469" s="29"/>
      <c r="BJ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c r="AY470" s="29"/>
      <c r="AZ470" s="29"/>
      <c r="BA470" s="29"/>
      <c r="BB470" s="29"/>
      <c r="BC470" s="29"/>
      <c r="BD470" s="29"/>
      <c r="BE470" s="29"/>
      <c r="BF470" s="29"/>
      <c r="BG470" s="29"/>
      <c r="BH470" s="29"/>
      <c r="BI470" s="29"/>
      <c r="BJ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c r="BI471" s="29"/>
      <c r="BJ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c r="AY472" s="29"/>
      <c r="AZ472" s="29"/>
      <c r="BA472" s="29"/>
      <c r="BB472" s="29"/>
      <c r="BC472" s="29"/>
      <c r="BD472" s="29"/>
      <c r="BE472" s="29"/>
      <c r="BF472" s="29"/>
      <c r="BG472" s="29"/>
      <c r="BH472" s="29"/>
      <c r="BI472" s="29"/>
      <c r="BJ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c r="BI473" s="29"/>
      <c r="BJ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c r="AY474" s="29"/>
      <c r="AZ474" s="29"/>
      <c r="BA474" s="29"/>
      <c r="BB474" s="29"/>
      <c r="BC474" s="29"/>
      <c r="BD474" s="29"/>
      <c r="BE474" s="29"/>
      <c r="BF474" s="29"/>
      <c r="BG474" s="29"/>
      <c r="BH474" s="29"/>
      <c r="BI474" s="29"/>
      <c r="BJ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c r="AY476" s="29"/>
      <c r="AZ476" s="29"/>
      <c r="BA476" s="29"/>
      <c r="BB476" s="29"/>
      <c r="BC476" s="29"/>
      <c r="BD476" s="29"/>
      <c r="BE476" s="29"/>
      <c r="BF476" s="29"/>
      <c r="BG476" s="29"/>
      <c r="BH476" s="29"/>
      <c r="BI476" s="29"/>
      <c r="BJ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c r="BI477" s="29"/>
      <c r="BJ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c r="BC478" s="29"/>
      <c r="BD478" s="29"/>
      <c r="BE478" s="29"/>
      <c r="BF478" s="29"/>
      <c r="BG478" s="29"/>
      <c r="BH478" s="29"/>
      <c r="BI478" s="29"/>
      <c r="BJ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c r="BI479" s="29"/>
      <c r="BJ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c r="AY480" s="29"/>
      <c r="AZ480" s="29"/>
      <c r="BA480" s="29"/>
      <c r="BB480" s="29"/>
      <c r="BC480" s="29"/>
      <c r="BD480" s="29"/>
      <c r="BE480" s="29"/>
      <c r="BF480" s="29"/>
      <c r="BG480" s="29"/>
      <c r="BH480" s="29"/>
      <c r="BI480" s="29"/>
      <c r="BJ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c r="BI481" s="29"/>
      <c r="BJ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c r="AY482" s="29"/>
      <c r="AZ482" s="29"/>
      <c r="BA482" s="29"/>
      <c r="BB482" s="29"/>
      <c r="BC482" s="29"/>
      <c r="BD482" s="29"/>
      <c r="BE482" s="29"/>
      <c r="BF482" s="29"/>
      <c r="BG482" s="29"/>
      <c r="BH482" s="29"/>
      <c r="BI482" s="29"/>
      <c r="BJ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c r="BI483" s="29"/>
      <c r="BJ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c r="AY484" s="29"/>
      <c r="AZ484" s="29"/>
      <c r="BA484" s="29"/>
      <c r="BB484" s="29"/>
      <c r="BC484" s="29"/>
      <c r="BD484" s="29"/>
      <c r="BE484" s="29"/>
      <c r="BF484" s="29"/>
      <c r="BG484" s="29"/>
      <c r="BH484" s="29"/>
      <c r="BI484" s="29"/>
      <c r="BJ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c r="BI485" s="29"/>
      <c r="BJ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c r="BC486" s="29"/>
      <c r="BD486" s="29"/>
      <c r="BE486" s="29"/>
      <c r="BF486" s="29"/>
      <c r="BG486" s="29"/>
      <c r="BH486" s="29"/>
      <c r="BI486" s="29"/>
      <c r="BJ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c r="BI487" s="29"/>
      <c r="BJ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c r="AY488" s="29"/>
      <c r="AZ488" s="29"/>
      <c r="BA488" s="29"/>
      <c r="BB488" s="29"/>
      <c r="BC488" s="29"/>
      <c r="BD488" s="29"/>
      <c r="BE488" s="29"/>
      <c r="BF488" s="29"/>
      <c r="BG488" s="29"/>
      <c r="BH488" s="29"/>
      <c r="BI488" s="29"/>
      <c r="BJ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c r="AY490" s="29"/>
      <c r="AZ490" s="29"/>
      <c r="BA490" s="29"/>
      <c r="BB490" s="29"/>
      <c r="BC490" s="29"/>
      <c r="BD490" s="29"/>
      <c r="BE490" s="29"/>
      <c r="BF490" s="29"/>
      <c r="BG490" s="29"/>
      <c r="BH490" s="29"/>
      <c r="BI490" s="29"/>
      <c r="BJ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c r="BI491" s="29"/>
      <c r="BJ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c r="AY492" s="29"/>
      <c r="AZ492" s="29"/>
      <c r="BA492" s="29"/>
      <c r="BB492" s="29"/>
      <c r="BC492" s="29"/>
      <c r="BD492" s="29"/>
      <c r="BE492" s="29"/>
      <c r="BF492" s="29"/>
      <c r="BG492" s="29"/>
      <c r="BH492" s="29"/>
      <c r="BI492" s="29"/>
      <c r="BJ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c r="BI493" s="29"/>
      <c r="BJ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c r="AY494" s="29"/>
      <c r="AZ494" s="29"/>
      <c r="BA494" s="29"/>
      <c r="BB494" s="29"/>
      <c r="BC494" s="29"/>
      <c r="BD494" s="29"/>
      <c r="BE494" s="29"/>
      <c r="BF494" s="29"/>
      <c r="BG494" s="29"/>
      <c r="BH494" s="29"/>
      <c r="BI494" s="29"/>
      <c r="BJ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c r="BI495" s="29"/>
      <c r="BJ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c r="AY496" s="29"/>
      <c r="AZ496" s="29"/>
      <c r="BA496" s="29"/>
      <c r="BB496" s="29"/>
      <c r="BC496" s="29"/>
      <c r="BD496" s="29"/>
      <c r="BE496" s="29"/>
      <c r="BF496" s="29"/>
      <c r="BG496" s="29"/>
      <c r="BH496" s="29"/>
      <c r="BI496" s="29"/>
      <c r="BJ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c r="BI497" s="29"/>
      <c r="BJ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c r="AY498" s="29"/>
      <c r="AZ498" s="29"/>
      <c r="BA498" s="29"/>
      <c r="BB498" s="29"/>
      <c r="BC498" s="29"/>
      <c r="BD498" s="29"/>
      <c r="BE498" s="29"/>
      <c r="BF498" s="29"/>
      <c r="BG498" s="29"/>
      <c r="BH498" s="29"/>
      <c r="BI498" s="29"/>
      <c r="BJ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c r="BI499" s="29"/>
      <c r="BJ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c r="AY500" s="29"/>
      <c r="AZ500" s="29"/>
      <c r="BA500" s="29"/>
      <c r="BB500" s="29"/>
      <c r="BC500" s="29"/>
      <c r="BD500" s="29"/>
      <c r="BE500" s="29"/>
      <c r="BF500" s="29"/>
      <c r="BG500" s="29"/>
      <c r="BH500" s="29"/>
      <c r="BI500" s="29"/>
      <c r="BJ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c r="BI501" s="29"/>
      <c r="BJ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c r="AZ502" s="29"/>
      <c r="BA502" s="29"/>
      <c r="BB502" s="29"/>
      <c r="BC502" s="29"/>
      <c r="BD502" s="29"/>
      <c r="BE502" s="29"/>
      <c r="BF502" s="29"/>
      <c r="BG502" s="29"/>
      <c r="BH502" s="29"/>
      <c r="BI502" s="29"/>
      <c r="BJ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c r="BI503" s="29"/>
      <c r="BJ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c r="BC504" s="29"/>
      <c r="BD504" s="29"/>
      <c r="BE504" s="29"/>
      <c r="BF504" s="29"/>
      <c r="BG504" s="29"/>
      <c r="BH504" s="29"/>
      <c r="BI504" s="29"/>
      <c r="BJ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c r="BI505" s="29"/>
      <c r="BJ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c r="AY506" s="29"/>
      <c r="AZ506" s="29"/>
      <c r="BA506" s="29"/>
      <c r="BB506" s="29"/>
      <c r="BC506" s="29"/>
      <c r="BD506" s="29"/>
      <c r="BE506" s="29"/>
      <c r="BF506" s="29"/>
      <c r="BG506" s="29"/>
      <c r="BH506" s="29"/>
      <c r="BI506" s="29"/>
      <c r="BJ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c r="BI507" s="29"/>
      <c r="BJ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c r="AY508" s="29"/>
      <c r="AZ508" s="29"/>
      <c r="BA508" s="29"/>
      <c r="BB508" s="29"/>
      <c r="BC508" s="29"/>
      <c r="BD508" s="29"/>
      <c r="BE508" s="29"/>
      <c r="BF508" s="29"/>
      <c r="BG508" s="29"/>
      <c r="BH508" s="29"/>
      <c r="BI508" s="29"/>
      <c r="BJ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c r="BI509" s="29"/>
      <c r="BJ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c r="AY510" s="29"/>
      <c r="AZ510" s="29"/>
      <c r="BA510" s="29"/>
      <c r="BB510" s="29"/>
      <c r="BC510" s="29"/>
      <c r="BD510" s="29"/>
      <c r="BE510" s="29"/>
      <c r="BF510" s="29"/>
      <c r="BG510" s="29"/>
      <c r="BH510" s="29"/>
      <c r="BI510" s="29"/>
      <c r="BJ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c r="BI511" s="29"/>
      <c r="BJ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c r="AY512" s="29"/>
      <c r="AZ512" s="29"/>
      <c r="BA512" s="29"/>
      <c r="BB512" s="29"/>
      <c r="BC512" s="29"/>
      <c r="BD512" s="29"/>
      <c r="BE512" s="29"/>
      <c r="BF512" s="29"/>
      <c r="BG512" s="29"/>
      <c r="BH512" s="29"/>
      <c r="BI512" s="29"/>
      <c r="BJ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c r="BI513" s="29"/>
      <c r="BJ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c r="AY514" s="29"/>
      <c r="AZ514" s="29"/>
      <c r="BA514" s="29"/>
      <c r="BB514" s="29"/>
      <c r="BC514" s="29"/>
      <c r="BD514" s="29"/>
      <c r="BE514" s="29"/>
      <c r="BF514" s="29"/>
      <c r="BG514" s="29"/>
      <c r="BH514" s="29"/>
      <c r="BI514" s="29"/>
      <c r="BJ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c r="BI515" s="29"/>
      <c r="BJ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c r="AY516" s="29"/>
      <c r="AZ516" s="29"/>
      <c r="BA516" s="29"/>
      <c r="BB516" s="29"/>
      <c r="BC516" s="29"/>
      <c r="BD516" s="29"/>
      <c r="BE516" s="29"/>
      <c r="BF516" s="29"/>
      <c r="BG516" s="29"/>
      <c r="BH516" s="29"/>
      <c r="BI516" s="29"/>
      <c r="BJ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c r="BI517" s="29"/>
      <c r="BJ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c r="BC518" s="29"/>
      <c r="BD518" s="29"/>
      <c r="BE518" s="29"/>
      <c r="BF518" s="29"/>
      <c r="BG518" s="29"/>
      <c r="BH518" s="29"/>
      <c r="BI518" s="29"/>
      <c r="BJ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c r="AY520" s="29"/>
      <c r="AZ520" s="29"/>
      <c r="BA520" s="29"/>
      <c r="BB520" s="29"/>
      <c r="BC520" s="29"/>
      <c r="BD520" s="29"/>
      <c r="BE520" s="29"/>
      <c r="BF520" s="29"/>
      <c r="BG520" s="29"/>
      <c r="BH520" s="29"/>
      <c r="BI520" s="29"/>
      <c r="BJ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c r="BC522" s="29"/>
      <c r="BD522" s="29"/>
      <c r="BE522" s="29"/>
      <c r="BF522" s="29"/>
      <c r="BG522" s="29"/>
      <c r="BH522" s="29"/>
      <c r="BI522" s="29"/>
      <c r="BJ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29"/>
      <c r="BH524" s="29"/>
      <c r="BI524" s="29"/>
      <c r="BJ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c r="BC526" s="29"/>
      <c r="BD526" s="29"/>
      <c r="BE526" s="29"/>
      <c r="BF526" s="29"/>
      <c r="BG526" s="29"/>
      <c r="BH526" s="29"/>
      <c r="BI526" s="29"/>
      <c r="BJ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c r="BC528" s="29"/>
      <c r="BD528" s="29"/>
      <c r="BE528" s="29"/>
      <c r="BF528" s="29"/>
      <c r="BG528" s="29"/>
      <c r="BH528" s="29"/>
      <c r="BI528" s="29"/>
      <c r="BJ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9"/>
      <c r="BH530" s="29"/>
      <c r="BI530" s="29"/>
      <c r="BJ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c r="BC532" s="29"/>
      <c r="BD532" s="29"/>
      <c r="BE532" s="29"/>
      <c r="BF532" s="29"/>
      <c r="BG532" s="29"/>
      <c r="BH532" s="29"/>
      <c r="BI532" s="29"/>
      <c r="BJ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9"/>
      <c r="BH534" s="29"/>
      <c r="BI534" s="29"/>
      <c r="BJ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9"/>
      <c r="BH536" s="29"/>
      <c r="BI536" s="29"/>
      <c r="BJ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c r="BC538" s="29"/>
      <c r="BD538" s="29"/>
      <c r="BE538" s="29"/>
      <c r="BF538" s="29"/>
      <c r="BG538" s="29"/>
      <c r="BH538" s="29"/>
      <c r="BI538" s="29"/>
      <c r="BJ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c r="BC540" s="29"/>
      <c r="BD540" s="29"/>
      <c r="BE540" s="29"/>
      <c r="BF540" s="29"/>
      <c r="BG540" s="29"/>
      <c r="BH540" s="29"/>
      <c r="BI540" s="29"/>
      <c r="BJ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c r="BC542" s="29"/>
      <c r="BD542" s="29"/>
      <c r="BE542" s="29"/>
      <c r="BF542" s="29"/>
      <c r="BG542" s="29"/>
      <c r="BH542" s="29"/>
      <c r="BI542" s="29"/>
      <c r="BJ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c r="BC544" s="29"/>
      <c r="BD544" s="29"/>
      <c r="BE544" s="29"/>
      <c r="BF544" s="29"/>
      <c r="BG544" s="29"/>
      <c r="BH544" s="29"/>
      <c r="BI544" s="29"/>
      <c r="BJ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c r="BC546" s="29"/>
      <c r="BD546" s="29"/>
      <c r="BE546" s="29"/>
      <c r="BF546" s="29"/>
      <c r="BG546" s="29"/>
      <c r="BH546" s="29"/>
      <c r="BI546" s="29"/>
      <c r="BJ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c r="AY548" s="29"/>
      <c r="AZ548" s="29"/>
      <c r="BA548" s="29"/>
      <c r="BB548" s="29"/>
      <c r="BC548" s="29"/>
      <c r="BD548" s="29"/>
      <c r="BE548" s="29"/>
      <c r="BF548" s="29"/>
      <c r="BG548" s="29"/>
      <c r="BH548" s="29"/>
      <c r="BI548" s="29"/>
      <c r="BJ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c r="AY550" s="29"/>
      <c r="AZ550" s="29"/>
      <c r="BA550" s="29"/>
      <c r="BB550" s="29"/>
      <c r="BC550" s="29"/>
      <c r="BD550" s="29"/>
      <c r="BE550" s="29"/>
      <c r="BF550" s="29"/>
      <c r="BG550" s="29"/>
      <c r="BH550" s="29"/>
      <c r="BI550" s="29"/>
      <c r="BJ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29"/>
      <c r="BH552" s="29"/>
      <c r="BI552" s="29"/>
      <c r="BJ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c r="AY554" s="29"/>
      <c r="AZ554" s="29"/>
      <c r="BA554" s="29"/>
      <c r="BB554" s="29"/>
      <c r="BC554" s="29"/>
      <c r="BD554" s="29"/>
      <c r="BE554" s="29"/>
      <c r="BF554" s="29"/>
      <c r="BG554" s="29"/>
      <c r="BH554" s="29"/>
      <c r="BI554" s="29"/>
      <c r="BJ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c r="AX556" s="29"/>
      <c r="AY556" s="29"/>
      <c r="AZ556" s="29"/>
      <c r="BA556" s="29"/>
      <c r="BB556" s="29"/>
      <c r="BC556" s="29"/>
      <c r="BD556" s="29"/>
      <c r="BE556" s="29"/>
      <c r="BF556" s="29"/>
      <c r="BG556" s="29"/>
      <c r="BH556" s="29"/>
      <c r="BI556" s="29"/>
      <c r="BJ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29"/>
      <c r="AY558" s="29"/>
      <c r="AZ558" s="29"/>
      <c r="BA558" s="29"/>
      <c r="BB558" s="29"/>
      <c r="BC558" s="29"/>
      <c r="BD558" s="29"/>
      <c r="BE558" s="29"/>
      <c r="BF558" s="29"/>
      <c r="BG558" s="29"/>
      <c r="BH558" s="29"/>
      <c r="BI558" s="29"/>
      <c r="BJ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29"/>
      <c r="AY560" s="29"/>
      <c r="AZ560" s="29"/>
      <c r="BA560" s="29"/>
      <c r="BB560" s="29"/>
      <c r="BC560" s="29"/>
      <c r="BD560" s="29"/>
      <c r="BE560" s="29"/>
      <c r="BF560" s="29"/>
      <c r="BG560" s="29"/>
      <c r="BH560" s="29"/>
      <c r="BI560" s="29"/>
      <c r="BJ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c r="AX562" s="29"/>
      <c r="AY562" s="29"/>
      <c r="AZ562" s="29"/>
      <c r="BA562" s="29"/>
      <c r="BB562" s="29"/>
      <c r="BC562" s="29"/>
      <c r="BD562" s="29"/>
      <c r="BE562" s="29"/>
      <c r="BF562" s="29"/>
      <c r="BG562" s="29"/>
      <c r="BH562" s="29"/>
      <c r="BI562" s="29"/>
      <c r="BJ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c r="BI564" s="29"/>
      <c r="BJ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c r="BI566" s="29"/>
      <c r="BJ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c r="BI568" s="29"/>
      <c r="BJ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c r="BI570" s="29"/>
      <c r="BJ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29"/>
      <c r="AY572" s="29"/>
      <c r="AZ572" s="29"/>
      <c r="BA572" s="29"/>
      <c r="BB572" s="29"/>
      <c r="BC572" s="29"/>
      <c r="BD572" s="29"/>
      <c r="BE572" s="29"/>
      <c r="BF572" s="29"/>
      <c r="BG572" s="29"/>
      <c r="BH572" s="29"/>
      <c r="BI572" s="29"/>
      <c r="BJ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c r="AY574" s="29"/>
      <c r="AZ574" s="29"/>
      <c r="BA574" s="29"/>
      <c r="BB574" s="29"/>
      <c r="BC574" s="29"/>
      <c r="BD574" s="29"/>
      <c r="BE574" s="29"/>
      <c r="BF574" s="29"/>
      <c r="BG574" s="29"/>
      <c r="BH574" s="29"/>
      <c r="BI574" s="29"/>
      <c r="BJ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c r="AY576" s="29"/>
      <c r="AZ576" s="29"/>
      <c r="BA576" s="29"/>
      <c r="BB576" s="29"/>
      <c r="BC576" s="29"/>
      <c r="BD576" s="29"/>
      <c r="BE576" s="29"/>
      <c r="BF576" s="29"/>
      <c r="BG576" s="29"/>
      <c r="BH576" s="29"/>
      <c r="BI576" s="29"/>
      <c r="BJ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c r="AY578" s="29"/>
      <c r="AZ578" s="29"/>
      <c r="BA578" s="29"/>
      <c r="BB578" s="29"/>
      <c r="BC578" s="29"/>
      <c r="BD578" s="29"/>
      <c r="BE578" s="29"/>
      <c r="BF578" s="29"/>
      <c r="BG578" s="29"/>
      <c r="BH578" s="29"/>
      <c r="BI578" s="29"/>
      <c r="BJ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c r="AY580" s="29"/>
      <c r="AZ580" s="29"/>
      <c r="BA580" s="29"/>
      <c r="BB580" s="29"/>
      <c r="BC580" s="29"/>
      <c r="BD580" s="29"/>
      <c r="BE580" s="29"/>
      <c r="BF580" s="29"/>
      <c r="BG580" s="29"/>
      <c r="BH580" s="29"/>
      <c r="BI580" s="29"/>
      <c r="BJ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c r="AY582" s="29"/>
      <c r="AZ582" s="29"/>
      <c r="BA582" s="29"/>
      <c r="BB582" s="29"/>
      <c r="BC582" s="29"/>
      <c r="BD582" s="29"/>
      <c r="BE582" s="29"/>
      <c r="BF582" s="29"/>
      <c r="BG582" s="29"/>
      <c r="BH582" s="29"/>
      <c r="BI582" s="29"/>
      <c r="BJ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c r="AY584" s="29"/>
      <c r="AZ584" s="29"/>
      <c r="BA584" s="29"/>
      <c r="BB584" s="29"/>
      <c r="BC584" s="29"/>
      <c r="BD584" s="29"/>
      <c r="BE584" s="29"/>
      <c r="BF584" s="29"/>
      <c r="BG584" s="29"/>
      <c r="BH584" s="29"/>
      <c r="BI584" s="29"/>
      <c r="BJ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29"/>
      <c r="AY586" s="29"/>
      <c r="AZ586" s="29"/>
      <c r="BA586" s="29"/>
      <c r="BB586" s="29"/>
      <c r="BC586" s="29"/>
      <c r="BD586" s="29"/>
      <c r="BE586" s="29"/>
      <c r="BF586" s="29"/>
      <c r="BG586" s="29"/>
      <c r="BH586" s="29"/>
      <c r="BI586" s="29"/>
      <c r="BJ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c r="AX588" s="29"/>
      <c r="AY588" s="29"/>
      <c r="AZ588" s="29"/>
      <c r="BA588" s="29"/>
      <c r="BB588" s="29"/>
      <c r="BC588" s="29"/>
      <c r="BD588" s="29"/>
      <c r="BE588" s="29"/>
      <c r="BF588" s="29"/>
      <c r="BG588" s="29"/>
      <c r="BH588" s="29"/>
      <c r="BI588" s="29"/>
      <c r="BJ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c r="AX590" s="29"/>
      <c r="AY590" s="29"/>
      <c r="AZ590" s="29"/>
      <c r="BA590" s="29"/>
      <c r="BB590" s="29"/>
      <c r="BC590" s="29"/>
      <c r="BD590" s="29"/>
      <c r="BE590" s="29"/>
      <c r="BF590" s="29"/>
      <c r="BG590" s="29"/>
      <c r="BH590" s="29"/>
      <c r="BI590" s="29"/>
      <c r="BJ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c r="AX592" s="29"/>
      <c r="AY592" s="29"/>
      <c r="AZ592" s="29"/>
      <c r="BA592" s="29"/>
      <c r="BB592" s="29"/>
      <c r="BC592" s="29"/>
      <c r="BD592" s="29"/>
      <c r="BE592" s="29"/>
      <c r="BF592" s="29"/>
      <c r="BG592" s="29"/>
      <c r="BH592" s="29"/>
      <c r="BI592" s="29"/>
      <c r="BJ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29"/>
      <c r="AW594" s="29"/>
      <c r="AX594" s="29"/>
      <c r="AY594" s="29"/>
      <c r="AZ594" s="29"/>
      <c r="BA594" s="29"/>
      <c r="BB594" s="29"/>
      <c r="BC594" s="29"/>
      <c r="BD594" s="29"/>
      <c r="BE594" s="29"/>
      <c r="BF594" s="29"/>
      <c r="BG594" s="29"/>
      <c r="BH594" s="29"/>
      <c r="BI594" s="29"/>
      <c r="BJ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c r="AX596" s="29"/>
      <c r="AY596" s="29"/>
      <c r="AZ596" s="29"/>
      <c r="BA596" s="29"/>
      <c r="BB596" s="29"/>
      <c r="BC596" s="29"/>
      <c r="BD596" s="29"/>
      <c r="BE596" s="29"/>
      <c r="BF596" s="29"/>
      <c r="BG596" s="29"/>
      <c r="BH596" s="29"/>
      <c r="BI596" s="29"/>
      <c r="BJ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c r="AX598" s="29"/>
      <c r="AY598" s="29"/>
      <c r="AZ598" s="29"/>
      <c r="BA598" s="29"/>
      <c r="BB598" s="29"/>
      <c r="BC598" s="29"/>
      <c r="BD598" s="29"/>
      <c r="BE598" s="29"/>
      <c r="BF598" s="29"/>
      <c r="BG598" s="29"/>
      <c r="BH598" s="29"/>
      <c r="BI598" s="29"/>
      <c r="BJ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c r="AX600" s="29"/>
      <c r="AY600" s="29"/>
      <c r="AZ600" s="29"/>
      <c r="BA600" s="29"/>
      <c r="BB600" s="29"/>
      <c r="BC600" s="29"/>
      <c r="BD600" s="29"/>
      <c r="BE600" s="29"/>
      <c r="BF600" s="29"/>
      <c r="BG600" s="29"/>
      <c r="BH600" s="29"/>
      <c r="BI600" s="29"/>
      <c r="BJ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c r="AX602" s="29"/>
      <c r="AY602" s="29"/>
      <c r="AZ602" s="29"/>
      <c r="BA602" s="29"/>
      <c r="BB602" s="29"/>
      <c r="BC602" s="29"/>
      <c r="BD602" s="29"/>
      <c r="BE602" s="29"/>
      <c r="BF602" s="29"/>
      <c r="BG602" s="29"/>
      <c r="BH602" s="29"/>
      <c r="BI602" s="29"/>
      <c r="BJ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29"/>
      <c r="AW604" s="29"/>
      <c r="AX604" s="29"/>
      <c r="AY604" s="29"/>
      <c r="AZ604" s="29"/>
      <c r="BA604" s="29"/>
      <c r="BB604" s="29"/>
      <c r="BC604" s="29"/>
      <c r="BD604" s="29"/>
      <c r="BE604" s="29"/>
      <c r="BF604" s="29"/>
      <c r="BG604" s="29"/>
      <c r="BH604" s="29"/>
      <c r="BI604" s="29"/>
      <c r="BJ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c r="AX606" s="29"/>
      <c r="AY606" s="29"/>
      <c r="AZ606" s="29"/>
      <c r="BA606" s="29"/>
      <c r="BB606" s="29"/>
      <c r="BC606" s="29"/>
      <c r="BD606" s="29"/>
      <c r="BE606" s="29"/>
      <c r="BF606" s="29"/>
      <c r="BG606" s="29"/>
      <c r="BH606" s="29"/>
      <c r="BI606" s="29"/>
      <c r="BJ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c r="AX608" s="29"/>
      <c r="AY608" s="29"/>
      <c r="AZ608" s="29"/>
      <c r="BA608" s="29"/>
      <c r="BB608" s="29"/>
      <c r="BC608" s="29"/>
      <c r="BD608" s="29"/>
      <c r="BE608" s="29"/>
      <c r="BF608" s="29"/>
      <c r="BG608" s="29"/>
      <c r="BH608" s="29"/>
      <c r="BI608" s="29"/>
      <c r="BJ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c r="AX610" s="29"/>
      <c r="AY610" s="29"/>
      <c r="AZ610" s="29"/>
      <c r="BA610" s="29"/>
      <c r="BB610" s="29"/>
      <c r="BC610" s="29"/>
      <c r="BD610" s="29"/>
      <c r="BE610" s="29"/>
      <c r="BF610" s="29"/>
      <c r="BG610" s="29"/>
      <c r="BH610" s="29"/>
      <c r="BI610" s="29"/>
      <c r="BJ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c r="AX612" s="29"/>
      <c r="AY612" s="29"/>
      <c r="AZ612" s="29"/>
      <c r="BA612" s="29"/>
      <c r="BB612" s="29"/>
      <c r="BC612" s="29"/>
      <c r="BD612" s="29"/>
      <c r="BE612" s="29"/>
      <c r="BF612" s="29"/>
      <c r="BG612" s="29"/>
      <c r="BH612" s="29"/>
      <c r="BI612" s="29"/>
      <c r="BJ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c r="AX614" s="29"/>
      <c r="AY614" s="29"/>
      <c r="AZ614" s="29"/>
      <c r="BA614" s="29"/>
      <c r="BB614" s="29"/>
      <c r="BC614" s="29"/>
      <c r="BD614" s="29"/>
      <c r="BE614" s="29"/>
      <c r="BF614" s="29"/>
      <c r="BG614" s="29"/>
      <c r="BH614" s="29"/>
      <c r="BI614" s="29"/>
      <c r="BJ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29"/>
      <c r="AW616" s="29"/>
      <c r="AX616" s="29"/>
      <c r="AY616" s="29"/>
      <c r="AZ616" s="29"/>
      <c r="BA616" s="29"/>
      <c r="BB616" s="29"/>
      <c r="BC616" s="29"/>
      <c r="BD616" s="29"/>
      <c r="BE616" s="29"/>
      <c r="BF616" s="29"/>
      <c r="BG616" s="29"/>
      <c r="BH616" s="29"/>
      <c r="BI616" s="29"/>
      <c r="BJ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29"/>
      <c r="AW618" s="29"/>
      <c r="AX618" s="29"/>
      <c r="AY618" s="29"/>
      <c r="AZ618" s="29"/>
      <c r="BA618" s="29"/>
      <c r="BB618" s="29"/>
      <c r="BC618" s="29"/>
      <c r="BD618" s="29"/>
      <c r="BE618" s="29"/>
      <c r="BF618" s="29"/>
      <c r="BG618" s="29"/>
      <c r="BH618" s="29"/>
      <c r="BI618" s="29"/>
      <c r="BJ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c r="AX620" s="29"/>
      <c r="AY620" s="29"/>
      <c r="AZ620" s="29"/>
      <c r="BA620" s="29"/>
      <c r="BB620" s="29"/>
      <c r="BC620" s="29"/>
      <c r="BD620" s="29"/>
      <c r="BE620" s="29"/>
      <c r="BF620" s="29"/>
      <c r="BG620" s="29"/>
      <c r="BH620" s="29"/>
      <c r="BI620" s="29"/>
      <c r="BJ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c r="AX622" s="29"/>
      <c r="AY622" s="29"/>
      <c r="AZ622" s="29"/>
      <c r="BA622" s="29"/>
      <c r="BB622" s="29"/>
      <c r="BC622" s="29"/>
      <c r="BD622" s="29"/>
      <c r="BE622" s="29"/>
      <c r="BF622" s="29"/>
      <c r="BG622" s="29"/>
      <c r="BH622" s="29"/>
      <c r="BI622" s="29"/>
      <c r="BJ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c r="AX624" s="29"/>
      <c r="AY624" s="29"/>
      <c r="AZ624" s="29"/>
      <c r="BA624" s="29"/>
      <c r="BB624" s="29"/>
      <c r="BC624" s="29"/>
      <c r="BD624" s="29"/>
      <c r="BE624" s="29"/>
      <c r="BF624" s="29"/>
      <c r="BG624" s="29"/>
      <c r="BH624" s="29"/>
      <c r="BI624" s="29"/>
      <c r="BJ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c r="AX626" s="29"/>
      <c r="AY626" s="29"/>
      <c r="AZ626" s="29"/>
      <c r="BA626" s="29"/>
      <c r="BB626" s="29"/>
      <c r="BC626" s="29"/>
      <c r="BD626" s="29"/>
      <c r="BE626" s="29"/>
      <c r="BF626" s="29"/>
      <c r="BG626" s="29"/>
      <c r="BH626" s="29"/>
      <c r="BI626" s="29"/>
      <c r="BJ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c r="AX628" s="29"/>
      <c r="AY628" s="29"/>
      <c r="AZ628" s="29"/>
      <c r="BA628" s="29"/>
      <c r="BB628" s="29"/>
      <c r="BC628" s="29"/>
      <c r="BD628" s="29"/>
      <c r="BE628" s="29"/>
      <c r="BF628" s="29"/>
      <c r="BG628" s="29"/>
      <c r="BH628" s="29"/>
      <c r="BI628" s="29"/>
      <c r="BJ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c r="AW630" s="29"/>
      <c r="AX630" s="29"/>
      <c r="AY630" s="29"/>
      <c r="AZ630" s="29"/>
      <c r="BA630" s="29"/>
      <c r="BB630" s="29"/>
      <c r="BC630" s="29"/>
      <c r="BD630" s="29"/>
      <c r="BE630" s="29"/>
      <c r="BF630" s="29"/>
      <c r="BG630" s="29"/>
      <c r="BH630" s="29"/>
      <c r="BI630" s="29"/>
      <c r="BJ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c r="AX632" s="29"/>
      <c r="AY632" s="29"/>
      <c r="AZ632" s="29"/>
      <c r="BA632" s="29"/>
      <c r="BB632" s="29"/>
      <c r="BC632" s="29"/>
      <c r="BD632" s="29"/>
      <c r="BE632" s="29"/>
      <c r="BF632" s="29"/>
      <c r="BG632" s="29"/>
      <c r="BH632" s="29"/>
      <c r="BI632" s="29"/>
      <c r="BJ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c r="AX636" s="29"/>
      <c r="AY636" s="29"/>
      <c r="AZ636" s="29"/>
      <c r="BA636" s="29"/>
      <c r="BB636" s="29"/>
      <c r="BC636" s="29"/>
      <c r="BD636" s="29"/>
      <c r="BE636" s="29"/>
      <c r="BF636" s="29"/>
      <c r="BG636" s="29"/>
      <c r="BH636" s="29"/>
      <c r="BI636" s="29"/>
      <c r="BJ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c r="AX638" s="29"/>
      <c r="AY638" s="29"/>
      <c r="AZ638" s="29"/>
      <c r="BA638" s="29"/>
      <c r="BB638" s="29"/>
      <c r="BC638" s="29"/>
      <c r="BD638" s="29"/>
      <c r="BE638" s="29"/>
      <c r="BF638" s="29"/>
      <c r="BG638" s="29"/>
      <c r="BH638" s="29"/>
      <c r="BI638" s="29"/>
      <c r="BJ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c r="AW642" s="29"/>
      <c r="AX642" s="29"/>
      <c r="AY642" s="29"/>
      <c r="AZ642" s="29"/>
      <c r="BA642" s="29"/>
      <c r="BB642" s="29"/>
      <c r="BC642" s="29"/>
      <c r="BD642" s="29"/>
      <c r="BE642" s="29"/>
      <c r="BF642" s="29"/>
      <c r="BG642" s="29"/>
      <c r="BH642" s="29"/>
      <c r="BI642" s="29"/>
      <c r="BJ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c r="AX644" s="29"/>
      <c r="AY644" s="29"/>
      <c r="AZ644" s="29"/>
      <c r="BA644" s="29"/>
      <c r="BB644" s="29"/>
      <c r="BC644" s="29"/>
      <c r="BD644" s="29"/>
      <c r="BE644" s="29"/>
      <c r="BF644" s="29"/>
      <c r="BG644" s="29"/>
      <c r="BH644" s="29"/>
      <c r="BI644" s="29"/>
      <c r="BJ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c r="AX646" s="29"/>
      <c r="AY646" s="29"/>
      <c r="AZ646" s="29"/>
      <c r="BA646" s="29"/>
      <c r="BB646" s="29"/>
      <c r="BC646" s="29"/>
      <c r="BD646" s="29"/>
      <c r="BE646" s="29"/>
      <c r="BF646" s="29"/>
      <c r="BG646" s="29"/>
      <c r="BH646" s="29"/>
      <c r="BI646" s="29"/>
      <c r="BJ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c r="AX648" s="29"/>
      <c r="AY648" s="29"/>
      <c r="AZ648" s="29"/>
      <c r="BA648" s="29"/>
      <c r="BB648" s="29"/>
      <c r="BC648" s="29"/>
      <c r="BD648" s="29"/>
      <c r="BE648" s="29"/>
      <c r="BF648" s="29"/>
      <c r="BG648" s="29"/>
      <c r="BH648" s="29"/>
      <c r="BI648" s="29"/>
      <c r="BJ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c r="AX650" s="29"/>
      <c r="AY650" s="29"/>
      <c r="AZ650" s="29"/>
      <c r="BA650" s="29"/>
      <c r="BB650" s="29"/>
      <c r="BC650" s="29"/>
      <c r="BD650" s="29"/>
      <c r="BE650" s="29"/>
      <c r="BF650" s="29"/>
      <c r="BG650" s="29"/>
      <c r="BH650" s="29"/>
      <c r="BI650" s="29"/>
      <c r="BJ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c r="AX652" s="29"/>
      <c r="AY652" s="29"/>
      <c r="AZ652" s="29"/>
      <c r="BA652" s="29"/>
      <c r="BB652" s="29"/>
      <c r="BC652" s="29"/>
      <c r="BD652" s="29"/>
      <c r="BE652" s="29"/>
      <c r="BF652" s="29"/>
      <c r="BG652" s="29"/>
      <c r="BH652" s="29"/>
      <c r="BI652" s="29"/>
      <c r="BJ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c r="AX654" s="29"/>
      <c r="AY654" s="29"/>
      <c r="AZ654" s="29"/>
      <c r="BA654" s="29"/>
      <c r="BB654" s="29"/>
      <c r="BC654" s="29"/>
      <c r="BD654" s="29"/>
      <c r="BE654" s="29"/>
      <c r="BF654" s="29"/>
      <c r="BG654" s="29"/>
      <c r="BH654" s="29"/>
      <c r="BI654" s="29"/>
      <c r="BJ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c r="AY656" s="29"/>
      <c r="AZ656" s="29"/>
      <c r="BA656" s="29"/>
      <c r="BB656" s="29"/>
      <c r="BC656" s="29"/>
      <c r="BD656" s="29"/>
      <c r="BE656" s="29"/>
      <c r="BF656" s="29"/>
      <c r="BG656" s="29"/>
      <c r="BH656" s="29"/>
      <c r="BI656" s="29"/>
      <c r="BJ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29"/>
      <c r="AY658" s="29"/>
      <c r="AZ658" s="29"/>
      <c r="BA658" s="29"/>
      <c r="BB658" s="29"/>
      <c r="BC658" s="29"/>
      <c r="BD658" s="29"/>
      <c r="BE658" s="29"/>
      <c r="BF658" s="29"/>
      <c r="BG658" s="29"/>
      <c r="BH658" s="29"/>
      <c r="BI658" s="29"/>
      <c r="BJ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29"/>
      <c r="AY660" s="29"/>
      <c r="AZ660" s="29"/>
      <c r="BA660" s="29"/>
      <c r="BB660" s="29"/>
      <c r="BC660" s="29"/>
      <c r="BD660" s="29"/>
      <c r="BE660" s="29"/>
      <c r="BF660" s="29"/>
      <c r="BG660" s="29"/>
      <c r="BH660" s="29"/>
      <c r="BI660" s="29"/>
      <c r="BJ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29"/>
      <c r="AY662" s="29"/>
      <c r="AZ662" s="29"/>
      <c r="BA662" s="29"/>
      <c r="BB662" s="29"/>
      <c r="BC662" s="29"/>
      <c r="BD662" s="29"/>
      <c r="BE662" s="29"/>
      <c r="BF662" s="29"/>
      <c r="BG662" s="29"/>
      <c r="BH662" s="29"/>
      <c r="BI662" s="29"/>
      <c r="BJ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c r="AY664" s="29"/>
      <c r="AZ664" s="29"/>
      <c r="BA664" s="29"/>
      <c r="BB664" s="29"/>
      <c r="BC664" s="29"/>
      <c r="BD664" s="29"/>
      <c r="BE664" s="29"/>
      <c r="BF664" s="29"/>
      <c r="BG664" s="29"/>
      <c r="BH664" s="29"/>
      <c r="BI664" s="29"/>
      <c r="BJ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c r="AY666" s="29"/>
      <c r="AZ666" s="29"/>
      <c r="BA666" s="29"/>
      <c r="BB666" s="29"/>
      <c r="BC666" s="29"/>
      <c r="BD666" s="29"/>
      <c r="BE666" s="29"/>
      <c r="BF666" s="29"/>
      <c r="BG666" s="29"/>
      <c r="BH666" s="29"/>
      <c r="BI666" s="29"/>
      <c r="BJ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29"/>
      <c r="AY668" s="29"/>
      <c r="AZ668" s="29"/>
      <c r="BA668" s="29"/>
      <c r="BB668" s="29"/>
      <c r="BC668" s="29"/>
      <c r="BD668" s="29"/>
      <c r="BE668" s="29"/>
      <c r="BF668" s="29"/>
      <c r="BG668" s="29"/>
      <c r="BH668" s="29"/>
      <c r="BI668" s="29"/>
      <c r="BJ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29"/>
      <c r="AY670" s="29"/>
      <c r="AZ670" s="29"/>
      <c r="BA670" s="29"/>
      <c r="BB670" s="29"/>
      <c r="BC670" s="29"/>
      <c r="BD670" s="29"/>
      <c r="BE670" s="29"/>
      <c r="BF670" s="29"/>
      <c r="BG670" s="29"/>
      <c r="BH670" s="29"/>
      <c r="BI670" s="29"/>
      <c r="BJ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29"/>
      <c r="AY672" s="29"/>
      <c r="AZ672" s="29"/>
      <c r="BA672" s="29"/>
      <c r="BB672" s="29"/>
      <c r="BC672" s="29"/>
      <c r="BD672" s="29"/>
      <c r="BE672" s="29"/>
      <c r="BF672" s="29"/>
      <c r="BG672" s="29"/>
      <c r="BH672" s="29"/>
      <c r="BI672" s="29"/>
      <c r="BJ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29"/>
      <c r="AY674" s="29"/>
      <c r="AZ674" s="29"/>
      <c r="BA674" s="29"/>
      <c r="BB674" s="29"/>
      <c r="BC674" s="29"/>
      <c r="BD674" s="29"/>
      <c r="BE674" s="29"/>
      <c r="BF674" s="29"/>
      <c r="BG674" s="29"/>
      <c r="BH674" s="29"/>
      <c r="BI674" s="29"/>
      <c r="BJ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c r="AV676" s="29"/>
      <c r="AW676" s="29"/>
      <c r="AX676" s="29"/>
      <c r="AY676" s="29"/>
      <c r="AZ676" s="29"/>
      <c r="BA676" s="29"/>
      <c r="BB676" s="29"/>
      <c r="BC676" s="29"/>
      <c r="BD676" s="29"/>
      <c r="BE676" s="29"/>
      <c r="BF676" s="29"/>
      <c r="BG676" s="29"/>
      <c r="BH676" s="29"/>
      <c r="BI676" s="29"/>
      <c r="BJ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c r="AX678" s="29"/>
      <c r="AY678" s="29"/>
      <c r="AZ678" s="29"/>
      <c r="BA678" s="29"/>
      <c r="BB678" s="29"/>
      <c r="BC678" s="29"/>
      <c r="BD678" s="29"/>
      <c r="BE678" s="29"/>
      <c r="BF678" s="29"/>
      <c r="BG678" s="29"/>
      <c r="BH678" s="29"/>
      <c r="BI678" s="29"/>
      <c r="BJ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c r="AX680" s="29"/>
      <c r="AY680" s="29"/>
      <c r="AZ680" s="29"/>
      <c r="BA680" s="29"/>
      <c r="BB680" s="29"/>
      <c r="BC680" s="29"/>
      <c r="BD680" s="29"/>
      <c r="BE680" s="29"/>
      <c r="BF680" s="29"/>
      <c r="BG680" s="29"/>
      <c r="BH680" s="29"/>
      <c r="BI680" s="29"/>
      <c r="BJ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c r="AX682" s="29"/>
      <c r="AY682" s="29"/>
      <c r="AZ682" s="29"/>
      <c r="BA682" s="29"/>
      <c r="BB682" s="29"/>
      <c r="BC682" s="29"/>
      <c r="BD682" s="29"/>
      <c r="BE682" s="29"/>
      <c r="BF682" s="29"/>
      <c r="BG682" s="29"/>
      <c r="BH682" s="29"/>
      <c r="BI682" s="29"/>
      <c r="BJ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c r="AX684" s="29"/>
      <c r="AY684" s="29"/>
      <c r="AZ684" s="29"/>
      <c r="BA684" s="29"/>
      <c r="BB684" s="29"/>
      <c r="BC684" s="29"/>
      <c r="BD684" s="29"/>
      <c r="BE684" s="29"/>
      <c r="BF684" s="29"/>
      <c r="BG684" s="29"/>
      <c r="BH684" s="29"/>
      <c r="BI684" s="29"/>
      <c r="BJ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c r="AX686" s="29"/>
      <c r="AY686" s="29"/>
      <c r="AZ686" s="29"/>
      <c r="BA686" s="29"/>
      <c r="BB686" s="29"/>
      <c r="BC686" s="29"/>
      <c r="BD686" s="29"/>
      <c r="BE686" s="29"/>
      <c r="BF686" s="29"/>
      <c r="BG686" s="29"/>
      <c r="BH686" s="29"/>
      <c r="BI686" s="29"/>
      <c r="BJ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c r="AX688" s="29"/>
      <c r="AY688" s="29"/>
      <c r="AZ688" s="29"/>
      <c r="BA688" s="29"/>
      <c r="BB688" s="29"/>
      <c r="BC688" s="29"/>
      <c r="BD688" s="29"/>
      <c r="BE688" s="29"/>
      <c r="BF688" s="29"/>
      <c r="BG688" s="29"/>
      <c r="BH688" s="29"/>
      <c r="BI688" s="29"/>
      <c r="BJ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c r="AX690" s="29"/>
      <c r="AY690" s="29"/>
      <c r="AZ690" s="29"/>
      <c r="BA690" s="29"/>
      <c r="BB690" s="29"/>
      <c r="BC690" s="29"/>
      <c r="BD690" s="29"/>
      <c r="BE690" s="29"/>
      <c r="BF690" s="29"/>
      <c r="BG690" s="29"/>
      <c r="BH690" s="29"/>
      <c r="BI690" s="29"/>
      <c r="BJ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c r="AX692" s="29"/>
      <c r="AY692" s="29"/>
      <c r="AZ692" s="29"/>
      <c r="BA692" s="29"/>
      <c r="BB692" s="29"/>
      <c r="BC692" s="29"/>
      <c r="BD692" s="29"/>
      <c r="BE692" s="29"/>
      <c r="BF692" s="29"/>
      <c r="BG692" s="29"/>
      <c r="BH692" s="29"/>
      <c r="BI692" s="29"/>
      <c r="BJ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c r="AX694" s="29"/>
      <c r="AY694" s="29"/>
      <c r="AZ694" s="29"/>
      <c r="BA694" s="29"/>
      <c r="BB694" s="29"/>
      <c r="BC694" s="29"/>
      <c r="BD694" s="29"/>
      <c r="BE694" s="29"/>
      <c r="BF694" s="29"/>
      <c r="BG694" s="29"/>
      <c r="BH694" s="29"/>
      <c r="BI694" s="29"/>
      <c r="BJ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29"/>
      <c r="AW696" s="29"/>
      <c r="AX696" s="29"/>
      <c r="AY696" s="29"/>
      <c r="AZ696" s="29"/>
      <c r="BA696" s="29"/>
      <c r="BB696" s="29"/>
      <c r="BC696" s="29"/>
      <c r="BD696" s="29"/>
      <c r="BE696" s="29"/>
      <c r="BF696" s="29"/>
      <c r="BG696" s="29"/>
      <c r="BH696" s="29"/>
      <c r="BI696" s="29"/>
      <c r="BJ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c r="AX698" s="29"/>
      <c r="AY698" s="29"/>
      <c r="AZ698" s="29"/>
      <c r="BA698" s="29"/>
      <c r="BB698" s="29"/>
      <c r="BC698" s="29"/>
      <c r="BD698" s="29"/>
      <c r="BE698" s="29"/>
      <c r="BF698" s="29"/>
      <c r="BG698" s="29"/>
      <c r="BH698" s="29"/>
      <c r="BI698" s="29"/>
      <c r="BJ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c r="AX700" s="29"/>
      <c r="AY700" s="29"/>
      <c r="AZ700" s="29"/>
      <c r="BA700" s="29"/>
      <c r="BB700" s="29"/>
      <c r="BC700" s="29"/>
      <c r="BD700" s="29"/>
      <c r="BE700" s="29"/>
      <c r="BF700" s="29"/>
      <c r="BG700" s="29"/>
      <c r="BH700" s="29"/>
      <c r="BI700" s="29"/>
      <c r="BJ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c r="AX702" s="29"/>
      <c r="AY702" s="29"/>
      <c r="AZ702" s="29"/>
      <c r="BA702" s="29"/>
      <c r="BB702" s="29"/>
      <c r="BC702" s="29"/>
      <c r="BD702" s="29"/>
      <c r="BE702" s="29"/>
      <c r="BF702" s="29"/>
      <c r="BG702" s="29"/>
      <c r="BH702" s="29"/>
      <c r="BI702" s="29"/>
      <c r="BJ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c r="AX704" s="29"/>
      <c r="AY704" s="29"/>
      <c r="AZ704" s="29"/>
      <c r="BA704" s="29"/>
      <c r="BB704" s="29"/>
      <c r="BC704" s="29"/>
      <c r="BD704" s="29"/>
      <c r="BE704" s="29"/>
      <c r="BF704" s="29"/>
      <c r="BG704" s="29"/>
      <c r="BH704" s="29"/>
      <c r="BI704" s="29"/>
      <c r="BJ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c r="AX706" s="29"/>
      <c r="AY706" s="29"/>
      <c r="AZ706" s="29"/>
      <c r="BA706" s="29"/>
      <c r="BB706" s="29"/>
      <c r="BC706" s="29"/>
      <c r="BD706" s="29"/>
      <c r="BE706" s="29"/>
      <c r="BF706" s="29"/>
      <c r="BG706" s="29"/>
      <c r="BH706" s="29"/>
      <c r="BI706" s="29"/>
      <c r="BJ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c r="AX708" s="29"/>
      <c r="AY708" s="29"/>
      <c r="AZ708" s="29"/>
      <c r="BA708" s="29"/>
      <c r="BB708" s="29"/>
      <c r="BC708" s="29"/>
      <c r="BD708" s="29"/>
      <c r="BE708" s="29"/>
      <c r="BF708" s="29"/>
      <c r="BG708" s="29"/>
      <c r="BH708" s="29"/>
      <c r="BI708" s="29"/>
      <c r="BJ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c r="AV710" s="29"/>
      <c r="AW710" s="29"/>
      <c r="AX710" s="29"/>
      <c r="AY710" s="29"/>
      <c r="AZ710" s="29"/>
      <c r="BA710" s="29"/>
      <c r="BB710" s="29"/>
      <c r="BC710" s="29"/>
      <c r="BD710" s="29"/>
      <c r="BE710" s="29"/>
      <c r="BF710" s="29"/>
      <c r="BG710" s="29"/>
      <c r="BH710" s="29"/>
      <c r="BI710" s="29"/>
      <c r="BJ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c r="AX712" s="29"/>
      <c r="AY712" s="29"/>
      <c r="AZ712" s="29"/>
      <c r="BA712" s="29"/>
      <c r="BB712" s="29"/>
      <c r="BC712" s="29"/>
      <c r="BD712" s="29"/>
      <c r="BE712" s="29"/>
      <c r="BF712" s="29"/>
      <c r="BG712" s="29"/>
      <c r="BH712" s="29"/>
      <c r="BI712" s="29"/>
      <c r="BJ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c r="AX714" s="29"/>
      <c r="AY714" s="29"/>
      <c r="AZ714" s="29"/>
      <c r="BA714" s="29"/>
      <c r="BB714" s="29"/>
      <c r="BC714" s="29"/>
      <c r="BD714" s="29"/>
      <c r="BE714" s="29"/>
      <c r="BF714" s="29"/>
      <c r="BG714" s="29"/>
      <c r="BH714" s="29"/>
      <c r="BI714" s="29"/>
      <c r="BJ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c r="AX716" s="29"/>
      <c r="AY716" s="29"/>
      <c r="AZ716" s="29"/>
      <c r="BA716" s="29"/>
      <c r="BB716" s="29"/>
      <c r="BC716" s="29"/>
      <c r="BD716" s="29"/>
      <c r="BE716" s="29"/>
      <c r="BF716" s="29"/>
      <c r="BG716" s="29"/>
      <c r="BH716" s="29"/>
      <c r="BI716" s="29"/>
      <c r="BJ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c r="AX718" s="29"/>
      <c r="AY718" s="29"/>
      <c r="AZ718" s="29"/>
      <c r="BA718" s="29"/>
      <c r="BB718" s="29"/>
      <c r="BC718" s="29"/>
      <c r="BD718" s="29"/>
      <c r="BE718" s="29"/>
      <c r="BF718" s="29"/>
      <c r="BG718" s="29"/>
      <c r="BH718" s="29"/>
      <c r="BI718" s="29"/>
      <c r="BJ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c r="AX720" s="29"/>
      <c r="AY720" s="29"/>
      <c r="AZ720" s="29"/>
      <c r="BA720" s="29"/>
      <c r="BB720" s="29"/>
      <c r="BC720" s="29"/>
      <c r="BD720" s="29"/>
      <c r="BE720" s="29"/>
      <c r="BF720" s="29"/>
      <c r="BG720" s="29"/>
      <c r="BH720" s="29"/>
      <c r="BI720" s="29"/>
      <c r="BJ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c r="AX722" s="29"/>
      <c r="AY722" s="29"/>
      <c r="AZ722" s="29"/>
      <c r="BA722" s="29"/>
      <c r="BB722" s="29"/>
      <c r="BC722" s="29"/>
      <c r="BD722" s="29"/>
      <c r="BE722" s="29"/>
      <c r="BF722" s="29"/>
      <c r="BG722" s="29"/>
      <c r="BH722" s="29"/>
      <c r="BI722" s="29"/>
      <c r="BJ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c r="AX724" s="29"/>
      <c r="AY724" s="29"/>
      <c r="AZ724" s="29"/>
      <c r="BA724" s="29"/>
      <c r="BB724" s="29"/>
      <c r="BC724" s="29"/>
      <c r="BD724" s="29"/>
      <c r="BE724" s="29"/>
      <c r="BF724" s="29"/>
      <c r="BG724" s="29"/>
      <c r="BH724" s="29"/>
      <c r="BI724" s="29"/>
      <c r="BJ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29"/>
      <c r="AW726" s="29"/>
      <c r="AX726" s="29"/>
      <c r="AY726" s="29"/>
      <c r="AZ726" s="29"/>
      <c r="BA726" s="29"/>
      <c r="BB726" s="29"/>
      <c r="BC726" s="29"/>
      <c r="BD726" s="29"/>
      <c r="BE726" s="29"/>
      <c r="BF726" s="29"/>
      <c r="BG726" s="29"/>
      <c r="BH726" s="29"/>
      <c r="BI726" s="29"/>
      <c r="BJ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c r="AX728" s="29"/>
      <c r="AY728" s="29"/>
      <c r="AZ728" s="29"/>
      <c r="BA728" s="29"/>
      <c r="BB728" s="29"/>
      <c r="BC728" s="29"/>
      <c r="BD728" s="29"/>
      <c r="BE728" s="29"/>
      <c r="BF728" s="29"/>
      <c r="BG728" s="29"/>
      <c r="BH728" s="29"/>
      <c r="BI728" s="29"/>
      <c r="BJ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c r="AX730" s="29"/>
      <c r="AY730" s="29"/>
      <c r="AZ730" s="29"/>
      <c r="BA730" s="29"/>
      <c r="BB730" s="29"/>
      <c r="BC730" s="29"/>
      <c r="BD730" s="29"/>
      <c r="BE730" s="29"/>
      <c r="BF730" s="29"/>
      <c r="BG730" s="29"/>
      <c r="BH730" s="29"/>
      <c r="BI730" s="29"/>
      <c r="BJ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c r="AX732" s="29"/>
      <c r="AY732" s="29"/>
      <c r="AZ732" s="29"/>
      <c r="BA732" s="29"/>
      <c r="BB732" s="29"/>
      <c r="BC732" s="29"/>
      <c r="BD732" s="29"/>
      <c r="BE732" s="29"/>
      <c r="BF732" s="29"/>
      <c r="BG732" s="29"/>
      <c r="BH732" s="29"/>
      <c r="BI732" s="29"/>
      <c r="BJ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c r="AX734" s="29"/>
      <c r="AY734" s="29"/>
      <c r="AZ734" s="29"/>
      <c r="BA734" s="29"/>
      <c r="BB734" s="29"/>
      <c r="BC734" s="29"/>
      <c r="BD734" s="29"/>
      <c r="BE734" s="29"/>
      <c r="BF734" s="29"/>
      <c r="BG734" s="29"/>
      <c r="BH734" s="29"/>
      <c r="BI734" s="29"/>
      <c r="BJ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c r="AX736" s="29"/>
      <c r="AY736" s="29"/>
      <c r="AZ736" s="29"/>
      <c r="BA736" s="29"/>
      <c r="BB736" s="29"/>
      <c r="BC736" s="29"/>
      <c r="BD736" s="29"/>
      <c r="BE736" s="29"/>
      <c r="BF736" s="29"/>
      <c r="BG736" s="29"/>
      <c r="BH736" s="29"/>
      <c r="BI736" s="29"/>
      <c r="BJ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29"/>
      <c r="AW738" s="29"/>
      <c r="AX738" s="29"/>
      <c r="AY738" s="29"/>
      <c r="AZ738" s="29"/>
      <c r="BA738" s="29"/>
      <c r="BB738" s="29"/>
      <c r="BC738" s="29"/>
      <c r="BD738" s="29"/>
      <c r="BE738" s="29"/>
      <c r="BF738" s="29"/>
      <c r="BG738" s="29"/>
      <c r="BH738" s="29"/>
      <c r="BI738" s="29"/>
      <c r="BJ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29"/>
      <c r="AW740" s="29"/>
      <c r="AX740" s="29"/>
      <c r="AY740" s="29"/>
      <c r="AZ740" s="29"/>
      <c r="BA740" s="29"/>
      <c r="BB740" s="29"/>
      <c r="BC740" s="29"/>
      <c r="BD740" s="29"/>
      <c r="BE740" s="29"/>
      <c r="BF740" s="29"/>
      <c r="BG740" s="29"/>
      <c r="BH740" s="29"/>
      <c r="BI740" s="29"/>
      <c r="BJ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29"/>
      <c r="AW742" s="29"/>
      <c r="AX742" s="29"/>
      <c r="AY742" s="29"/>
      <c r="AZ742" s="29"/>
      <c r="BA742" s="29"/>
      <c r="BB742" s="29"/>
      <c r="BC742" s="29"/>
      <c r="BD742" s="29"/>
      <c r="BE742" s="29"/>
      <c r="BF742" s="29"/>
      <c r="BG742" s="29"/>
      <c r="BH742" s="29"/>
      <c r="BI742" s="29"/>
      <c r="BJ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29"/>
      <c r="AW744" s="29"/>
      <c r="AX744" s="29"/>
      <c r="AY744" s="29"/>
      <c r="AZ744" s="29"/>
      <c r="BA744" s="29"/>
      <c r="BB744" s="29"/>
      <c r="BC744" s="29"/>
      <c r="BD744" s="29"/>
      <c r="BE744" s="29"/>
      <c r="BF744" s="29"/>
      <c r="BG744" s="29"/>
      <c r="BH744" s="29"/>
      <c r="BI744" s="29"/>
      <c r="BJ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29"/>
      <c r="AW746" s="29"/>
      <c r="AX746" s="29"/>
      <c r="AY746" s="29"/>
      <c r="AZ746" s="29"/>
      <c r="BA746" s="29"/>
      <c r="BB746" s="29"/>
      <c r="BC746" s="29"/>
      <c r="BD746" s="29"/>
      <c r="BE746" s="29"/>
      <c r="BF746" s="29"/>
      <c r="BG746" s="29"/>
      <c r="BH746" s="29"/>
      <c r="BI746" s="29"/>
      <c r="BJ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c r="AX750" s="29"/>
      <c r="AY750" s="29"/>
      <c r="AZ750" s="29"/>
      <c r="BA750" s="29"/>
      <c r="BB750" s="29"/>
      <c r="BC750" s="29"/>
      <c r="BD750" s="29"/>
      <c r="BE750" s="29"/>
      <c r="BF750" s="29"/>
      <c r="BG750" s="29"/>
      <c r="BH750" s="29"/>
      <c r="BI750" s="29"/>
      <c r="BJ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c r="AX752" s="29"/>
      <c r="AY752" s="29"/>
      <c r="AZ752" s="29"/>
      <c r="BA752" s="29"/>
      <c r="BB752" s="29"/>
      <c r="BC752" s="29"/>
      <c r="BD752" s="29"/>
      <c r="BE752" s="29"/>
      <c r="BF752" s="29"/>
      <c r="BG752" s="29"/>
      <c r="BH752" s="29"/>
      <c r="BI752" s="29"/>
      <c r="BJ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c r="AX754" s="29"/>
      <c r="AY754" s="29"/>
      <c r="AZ754" s="29"/>
      <c r="BA754" s="29"/>
      <c r="BB754" s="29"/>
      <c r="BC754" s="29"/>
      <c r="BD754" s="29"/>
      <c r="BE754" s="29"/>
      <c r="BF754" s="29"/>
      <c r="BG754" s="29"/>
      <c r="BH754" s="29"/>
      <c r="BI754" s="29"/>
      <c r="BJ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c r="AX756" s="29"/>
      <c r="AY756" s="29"/>
      <c r="AZ756" s="29"/>
      <c r="BA756" s="29"/>
      <c r="BB756" s="29"/>
      <c r="BC756" s="29"/>
      <c r="BD756" s="29"/>
      <c r="BE756" s="29"/>
      <c r="BF756" s="29"/>
      <c r="BG756" s="29"/>
      <c r="BH756" s="29"/>
      <c r="BI756" s="29"/>
      <c r="BJ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29"/>
      <c r="AW758" s="29"/>
      <c r="AX758" s="29"/>
      <c r="AY758" s="29"/>
      <c r="AZ758" s="29"/>
      <c r="BA758" s="29"/>
      <c r="BB758" s="29"/>
      <c r="BC758" s="29"/>
      <c r="BD758" s="29"/>
      <c r="BE758" s="29"/>
      <c r="BF758" s="29"/>
      <c r="BG758" s="29"/>
      <c r="BH758" s="29"/>
      <c r="BI758" s="29"/>
      <c r="BJ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c r="AX760" s="29"/>
      <c r="AY760" s="29"/>
      <c r="AZ760" s="29"/>
      <c r="BA760" s="29"/>
      <c r="BB760" s="29"/>
      <c r="BC760" s="29"/>
      <c r="BD760" s="29"/>
      <c r="BE760" s="29"/>
      <c r="BF760" s="29"/>
      <c r="BG760" s="29"/>
      <c r="BH760" s="29"/>
      <c r="BI760" s="29"/>
      <c r="BJ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c r="AX762" s="29"/>
      <c r="AY762" s="29"/>
      <c r="AZ762" s="29"/>
      <c r="BA762" s="29"/>
      <c r="BB762" s="29"/>
      <c r="BC762" s="29"/>
      <c r="BD762" s="29"/>
      <c r="BE762" s="29"/>
      <c r="BF762" s="29"/>
      <c r="BG762" s="29"/>
      <c r="BH762" s="29"/>
      <c r="BI762" s="29"/>
      <c r="BJ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c r="AX764" s="29"/>
      <c r="AY764" s="29"/>
      <c r="AZ764" s="29"/>
      <c r="BA764" s="29"/>
      <c r="BB764" s="29"/>
      <c r="BC764" s="29"/>
      <c r="BD764" s="29"/>
      <c r="BE764" s="29"/>
      <c r="BF764" s="29"/>
      <c r="BG764" s="29"/>
      <c r="BH764" s="29"/>
      <c r="BI764" s="29"/>
      <c r="BJ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c r="AX766" s="29"/>
      <c r="AY766" s="29"/>
      <c r="AZ766" s="29"/>
      <c r="BA766" s="29"/>
      <c r="BB766" s="29"/>
      <c r="BC766" s="29"/>
      <c r="BD766" s="29"/>
      <c r="BE766" s="29"/>
      <c r="BF766" s="29"/>
      <c r="BG766" s="29"/>
      <c r="BH766" s="29"/>
      <c r="BI766" s="29"/>
      <c r="BJ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c r="AX768" s="29"/>
      <c r="AY768" s="29"/>
      <c r="AZ768" s="29"/>
      <c r="BA768" s="29"/>
      <c r="BB768" s="29"/>
      <c r="BC768" s="29"/>
      <c r="BD768" s="29"/>
      <c r="BE768" s="29"/>
      <c r="BF768" s="29"/>
      <c r="BG768" s="29"/>
      <c r="BH768" s="29"/>
      <c r="BI768" s="29"/>
      <c r="BJ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29"/>
      <c r="AW770" s="29"/>
      <c r="AX770" s="29"/>
      <c r="AY770" s="29"/>
      <c r="AZ770" s="29"/>
      <c r="BA770" s="29"/>
      <c r="BB770" s="29"/>
      <c r="BC770" s="29"/>
      <c r="BD770" s="29"/>
      <c r="BE770" s="29"/>
      <c r="BF770" s="29"/>
      <c r="BG770" s="29"/>
      <c r="BH770" s="29"/>
      <c r="BI770" s="29"/>
      <c r="BJ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c r="BI772" s="29"/>
      <c r="BJ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c r="BI774" s="29"/>
      <c r="BJ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c r="BI776" s="29"/>
      <c r="BJ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c r="BI778" s="29"/>
      <c r="BJ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c r="AX780" s="29"/>
      <c r="AY780" s="29"/>
      <c r="AZ780" s="29"/>
      <c r="BA780" s="29"/>
      <c r="BB780" s="29"/>
      <c r="BC780" s="29"/>
      <c r="BD780" s="29"/>
      <c r="BE780" s="29"/>
      <c r="BF780" s="29"/>
      <c r="BG780" s="29"/>
      <c r="BH780" s="29"/>
      <c r="BI780" s="29"/>
      <c r="BJ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c r="BI782" s="29"/>
      <c r="BJ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c r="BI784" s="29"/>
      <c r="BJ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29"/>
      <c r="AW786" s="29"/>
      <c r="AX786" s="29"/>
      <c r="AY786" s="29"/>
      <c r="AZ786" s="29"/>
      <c r="BA786" s="29"/>
      <c r="BB786" s="29"/>
      <c r="BC786" s="29"/>
      <c r="BD786" s="29"/>
      <c r="BE786" s="29"/>
      <c r="BF786" s="29"/>
      <c r="BG786" s="29"/>
      <c r="BH786" s="29"/>
      <c r="BI786" s="29"/>
      <c r="BJ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29"/>
      <c r="AW788" s="29"/>
      <c r="AX788" s="29"/>
      <c r="AY788" s="29"/>
      <c r="AZ788" s="29"/>
      <c r="BA788" s="29"/>
      <c r="BB788" s="29"/>
      <c r="BC788" s="29"/>
      <c r="BD788" s="29"/>
      <c r="BE788" s="29"/>
      <c r="BF788" s="29"/>
      <c r="BG788" s="29"/>
      <c r="BH788" s="29"/>
      <c r="BI788" s="29"/>
      <c r="BJ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29"/>
      <c r="AW790" s="29"/>
      <c r="AX790" s="29"/>
      <c r="AY790" s="29"/>
      <c r="AZ790" s="29"/>
      <c r="BA790" s="29"/>
      <c r="BB790" s="29"/>
      <c r="BC790" s="29"/>
      <c r="BD790" s="29"/>
      <c r="BE790" s="29"/>
      <c r="BF790" s="29"/>
      <c r="BG790" s="29"/>
      <c r="BH790" s="29"/>
      <c r="BI790" s="29"/>
      <c r="BJ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29"/>
      <c r="AW792" s="29"/>
      <c r="AX792" s="29"/>
      <c r="AY792" s="29"/>
      <c r="AZ792" s="29"/>
      <c r="BA792" s="29"/>
      <c r="BB792" s="29"/>
      <c r="BC792" s="29"/>
      <c r="BD792" s="29"/>
      <c r="BE792" s="29"/>
      <c r="BF792" s="29"/>
      <c r="BG792" s="29"/>
      <c r="BH792" s="29"/>
      <c r="BI792" s="29"/>
      <c r="BJ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29"/>
      <c r="AW794" s="29"/>
      <c r="AX794" s="29"/>
      <c r="AY794" s="29"/>
      <c r="AZ794" s="29"/>
      <c r="BA794" s="29"/>
      <c r="BB794" s="29"/>
      <c r="BC794" s="29"/>
      <c r="BD794" s="29"/>
      <c r="BE794" s="29"/>
      <c r="BF794" s="29"/>
      <c r="BG794" s="29"/>
      <c r="BH794" s="29"/>
      <c r="BI794" s="29"/>
      <c r="BJ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29"/>
      <c r="AW796" s="29"/>
      <c r="AX796" s="29"/>
      <c r="AY796" s="29"/>
      <c r="AZ796" s="29"/>
      <c r="BA796" s="29"/>
      <c r="BB796" s="29"/>
      <c r="BC796" s="29"/>
      <c r="BD796" s="29"/>
      <c r="BE796" s="29"/>
      <c r="BF796" s="29"/>
      <c r="BG796" s="29"/>
      <c r="BH796" s="29"/>
      <c r="BI796" s="29"/>
      <c r="BJ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29"/>
      <c r="AW798" s="29"/>
      <c r="AX798" s="29"/>
      <c r="AY798" s="29"/>
      <c r="AZ798" s="29"/>
      <c r="BA798" s="29"/>
      <c r="BB798" s="29"/>
      <c r="BC798" s="29"/>
      <c r="BD798" s="29"/>
      <c r="BE798" s="29"/>
      <c r="BF798" s="29"/>
      <c r="BG798" s="29"/>
      <c r="BH798" s="29"/>
      <c r="BI798" s="29"/>
      <c r="BJ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29"/>
      <c r="AW800" s="29"/>
      <c r="AX800" s="29"/>
      <c r="AY800" s="29"/>
      <c r="AZ800" s="29"/>
      <c r="BA800" s="29"/>
      <c r="BB800" s="29"/>
      <c r="BC800" s="29"/>
      <c r="BD800" s="29"/>
      <c r="BE800" s="29"/>
      <c r="BF800" s="29"/>
      <c r="BG800" s="29"/>
      <c r="BH800" s="29"/>
      <c r="BI800" s="29"/>
      <c r="BJ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29"/>
      <c r="AW802" s="29"/>
      <c r="AX802" s="29"/>
      <c r="AY802" s="29"/>
      <c r="AZ802" s="29"/>
      <c r="BA802" s="29"/>
      <c r="BB802" s="29"/>
      <c r="BC802" s="29"/>
      <c r="BD802" s="29"/>
      <c r="BE802" s="29"/>
      <c r="BF802" s="29"/>
      <c r="BG802" s="29"/>
      <c r="BH802" s="29"/>
      <c r="BI802" s="29"/>
      <c r="BJ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29"/>
      <c r="AW804" s="29"/>
      <c r="AX804" s="29"/>
      <c r="AY804" s="29"/>
      <c r="AZ804" s="29"/>
      <c r="BA804" s="29"/>
      <c r="BB804" s="29"/>
      <c r="BC804" s="29"/>
      <c r="BD804" s="29"/>
      <c r="BE804" s="29"/>
      <c r="BF804" s="29"/>
      <c r="BG804" s="29"/>
      <c r="BH804" s="29"/>
      <c r="BI804" s="29"/>
      <c r="BJ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c r="AX806" s="29"/>
      <c r="AY806" s="29"/>
      <c r="AZ806" s="29"/>
      <c r="BA806" s="29"/>
      <c r="BB806" s="29"/>
      <c r="BC806" s="29"/>
      <c r="BD806" s="29"/>
      <c r="BE806" s="29"/>
      <c r="BF806" s="29"/>
      <c r="BG806" s="29"/>
      <c r="BH806" s="29"/>
      <c r="BI806" s="29"/>
      <c r="BJ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c r="AX808" s="29"/>
      <c r="AY808" s="29"/>
      <c r="AZ808" s="29"/>
      <c r="BA808" s="29"/>
      <c r="BB808" s="29"/>
      <c r="BC808" s="29"/>
      <c r="BD808" s="29"/>
      <c r="BE808" s="29"/>
      <c r="BF808" s="29"/>
      <c r="BG808" s="29"/>
      <c r="BH808" s="29"/>
      <c r="BI808" s="29"/>
      <c r="BJ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29"/>
      <c r="AW810" s="29"/>
      <c r="AX810" s="29"/>
      <c r="AY810" s="29"/>
      <c r="AZ810" s="29"/>
      <c r="BA810" s="29"/>
      <c r="BB810" s="29"/>
      <c r="BC810" s="29"/>
      <c r="BD810" s="29"/>
      <c r="BE810" s="29"/>
      <c r="BF810" s="29"/>
      <c r="BG810" s="29"/>
      <c r="BH810" s="29"/>
      <c r="BI810" s="29"/>
      <c r="BJ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c r="AX812" s="29"/>
      <c r="AY812" s="29"/>
      <c r="AZ812" s="29"/>
      <c r="BA812" s="29"/>
      <c r="BB812" s="29"/>
      <c r="BC812" s="29"/>
      <c r="BD812" s="29"/>
      <c r="BE812" s="29"/>
      <c r="BF812" s="29"/>
      <c r="BG812" s="29"/>
      <c r="BH812" s="29"/>
      <c r="BI812" s="29"/>
      <c r="BJ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c r="AX814" s="29"/>
      <c r="AY814" s="29"/>
      <c r="AZ814" s="29"/>
      <c r="BA814" s="29"/>
      <c r="BB814" s="29"/>
      <c r="BC814" s="29"/>
      <c r="BD814" s="29"/>
      <c r="BE814" s="29"/>
      <c r="BF814" s="29"/>
      <c r="BG814" s="29"/>
      <c r="BH814" s="29"/>
      <c r="BI814" s="29"/>
      <c r="BJ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c r="AX816" s="29"/>
      <c r="AY816" s="29"/>
      <c r="AZ816" s="29"/>
      <c r="BA816" s="29"/>
      <c r="BB816" s="29"/>
      <c r="BC816" s="29"/>
      <c r="BD816" s="29"/>
      <c r="BE816" s="29"/>
      <c r="BF816" s="29"/>
      <c r="BG816" s="29"/>
      <c r="BH816" s="29"/>
      <c r="BI816" s="29"/>
      <c r="BJ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c r="AV818" s="29"/>
      <c r="AW818" s="29"/>
      <c r="AX818" s="29"/>
      <c r="AY818" s="29"/>
      <c r="AZ818" s="29"/>
      <c r="BA818" s="29"/>
      <c r="BB818" s="29"/>
      <c r="BC818" s="29"/>
      <c r="BD818" s="29"/>
      <c r="BE818" s="29"/>
      <c r="BF818" s="29"/>
      <c r="BG818" s="29"/>
      <c r="BH818" s="29"/>
      <c r="BI818" s="29"/>
      <c r="BJ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c r="BI819" s="29"/>
      <c r="BJ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c r="AV820" s="29"/>
      <c r="AW820" s="29"/>
      <c r="AX820" s="29"/>
      <c r="AY820" s="29"/>
      <c r="AZ820" s="29"/>
      <c r="BA820" s="29"/>
      <c r="BB820" s="29"/>
      <c r="BC820" s="29"/>
      <c r="BD820" s="29"/>
      <c r="BE820" s="29"/>
      <c r="BF820" s="29"/>
      <c r="BG820" s="29"/>
      <c r="BH820" s="29"/>
      <c r="BI820" s="29"/>
      <c r="BJ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c r="BI821" s="29"/>
      <c r="BJ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c r="AV822" s="29"/>
      <c r="AW822" s="29"/>
      <c r="AX822" s="29"/>
      <c r="AY822" s="29"/>
      <c r="AZ822" s="29"/>
      <c r="BA822" s="29"/>
      <c r="BB822" s="29"/>
      <c r="BC822" s="29"/>
      <c r="BD822" s="29"/>
      <c r="BE822" s="29"/>
      <c r="BF822" s="29"/>
      <c r="BG822" s="29"/>
      <c r="BH822" s="29"/>
      <c r="BI822" s="29"/>
      <c r="BJ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c r="BI823" s="29"/>
      <c r="BJ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c r="AV824" s="29"/>
      <c r="AW824" s="29"/>
      <c r="AX824" s="29"/>
      <c r="AY824" s="29"/>
      <c r="AZ824" s="29"/>
      <c r="BA824" s="29"/>
      <c r="BB824" s="29"/>
      <c r="BC824" s="29"/>
      <c r="BD824" s="29"/>
      <c r="BE824" s="29"/>
      <c r="BF824" s="29"/>
      <c r="BG824" s="29"/>
      <c r="BH824" s="29"/>
      <c r="BI824" s="29"/>
      <c r="BJ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c r="BI825" s="29"/>
      <c r="BJ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c r="AV826" s="29"/>
      <c r="AW826" s="29"/>
      <c r="AX826" s="29"/>
      <c r="AY826" s="29"/>
      <c r="AZ826" s="29"/>
      <c r="BA826" s="29"/>
      <c r="BB826" s="29"/>
      <c r="BC826" s="29"/>
      <c r="BD826" s="29"/>
      <c r="BE826" s="29"/>
      <c r="BF826" s="29"/>
      <c r="BG826" s="29"/>
      <c r="BH826" s="29"/>
      <c r="BI826" s="29"/>
      <c r="BJ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c r="BI827" s="29"/>
      <c r="BJ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29"/>
      <c r="AW828" s="29"/>
      <c r="AX828" s="29"/>
      <c r="AY828" s="29"/>
      <c r="AZ828" s="29"/>
      <c r="BA828" s="29"/>
      <c r="BB828" s="29"/>
      <c r="BC828" s="29"/>
      <c r="BD828" s="29"/>
      <c r="BE828" s="29"/>
      <c r="BF828" s="29"/>
      <c r="BG828" s="29"/>
      <c r="BH828" s="29"/>
      <c r="BI828" s="29"/>
      <c r="BJ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c r="BI829" s="29"/>
      <c r="BJ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29"/>
      <c r="AW830" s="29"/>
      <c r="AX830" s="29"/>
      <c r="AY830" s="29"/>
      <c r="AZ830" s="29"/>
      <c r="BA830" s="29"/>
      <c r="BB830" s="29"/>
      <c r="BC830" s="29"/>
      <c r="BD830" s="29"/>
      <c r="BE830" s="29"/>
      <c r="BF830" s="29"/>
      <c r="BG830" s="29"/>
      <c r="BH830" s="29"/>
      <c r="BI830" s="29"/>
      <c r="BJ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c r="BI831" s="29"/>
      <c r="BJ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29"/>
      <c r="AW832" s="29"/>
      <c r="AX832" s="29"/>
      <c r="AY832" s="29"/>
      <c r="AZ832" s="29"/>
      <c r="BA832" s="29"/>
      <c r="BB832" s="29"/>
      <c r="BC832" s="29"/>
      <c r="BD832" s="29"/>
      <c r="BE832" s="29"/>
      <c r="BF832" s="29"/>
      <c r="BG832" s="29"/>
      <c r="BH832" s="29"/>
      <c r="BI832" s="29"/>
      <c r="BJ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c r="BI833" s="29"/>
      <c r="BJ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29"/>
      <c r="AW834" s="29"/>
      <c r="AX834" s="29"/>
      <c r="AY834" s="29"/>
      <c r="AZ834" s="29"/>
      <c r="BA834" s="29"/>
      <c r="BB834" s="29"/>
      <c r="BC834" s="29"/>
      <c r="BD834" s="29"/>
      <c r="BE834" s="29"/>
      <c r="BF834" s="29"/>
      <c r="BG834" s="29"/>
      <c r="BH834" s="29"/>
      <c r="BI834" s="29"/>
      <c r="BJ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c r="BI835" s="29"/>
      <c r="BJ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29"/>
      <c r="AW836" s="29"/>
      <c r="AX836" s="29"/>
      <c r="AY836" s="29"/>
      <c r="AZ836" s="29"/>
      <c r="BA836" s="29"/>
      <c r="BB836" s="29"/>
      <c r="BC836" s="29"/>
      <c r="BD836" s="29"/>
      <c r="BE836" s="29"/>
      <c r="BF836" s="29"/>
      <c r="BG836" s="29"/>
      <c r="BH836" s="29"/>
      <c r="BI836" s="29"/>
      <c r="BJ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c r="BI837" s="29"/>
      <c r="BJ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29"/>
      <c r="AW838" s="29"/>
      <c r="AX838" s="29"/>
      <c r="AY838" s="29"/>
      <c r="AZ838" s="29"/>
      <c r="BA838" s="29"/>
      <c r="BB838" s="29"/>
      <c r="BC838" s="29"/>
      <c r="BD838" s="29"/>
      <c r="BE838" s="29"/>
      <c r="BF838" s="29"/>
      <c r="BG838" s="29"/>
      <c r="BH838" s="29"/>
      <c r="BI838" s="29"/>
      <c r="BJ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c r="BI839" s="29"/>
      <c r="BJ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c r="AV840" s="29"/>
      <c r="AW840" s="29"/>
      <c r="AX840" s="29"/>
      <c r="AY840" s="29"/>
      <c r="AZ840" s="29"/>
      <c r="BA840" s="29"/>
      <c r="BB840" s="29"/>
      <c r="BC840" s="29"/>
      <c r="BD840" s="29"/>
      <c r="BE840" s="29"/>
      <c r="BF840" s="29"/>
      <c r="BG840" s="29"/>
      <c r="BH840" s="29"/>
      <c r="BI840" s="29"/>
      <c r="BJ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c r="BI841" s="29"/>
      <c r="BJ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c r="AV842" s="29"/>
      <c r="AW842" s="29"/>
      <c r="AX842" s="29"/>
      <c r="AY842" s="29"/>
      <c r="AZ842" s="29"/>
      <c r="BA842" s="29"/>
      <c r="BB842" s="29"/>
      <c r="BC842" s="29"/>
      <c r="BD842" s="29"/>
      <c r="BE842" s="29"/>
      <c r="BF842" s="29"/>
      <c r="BG842" s="29"/>
      <c r="BH842" s="29"/>
      <c r="BI842" s="29"/>
      <c r="BJ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c r="BI843" s="29"/>
      <c r="BJ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c r="AV844" s="29"/>
      <c r="AW844" s="29"/>
      <c r="AX844" s="29"/>
      <c r="AY844" s="29"/>
      <c r="AZ844" s="29"/>
      <c r="BA844" s="29"/>
      <c r="BB844" s="29"/>
      <c r="BC844" s="29"/>
      <c r="BD844" s="29"/>
      <c r="BE844" s="29"/>
      <c r="BF844" s="29"/>
      <c r="BG844" s="29"/>
      <c r="BH844" s="29"/>
      <c r="BI844" s="29"/>
      <c r="BJ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c r="BI845" s="29"/>
      <c r="BJ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c r="AV846" s="29"/>
      <c r="AW846" s="29"/>
      <c r="AX846" s="29"/>
      <c r="AY846" s="29"/>
      <c r="AZ846" s="29"/>
      <c r="BA846" s="29"/>
      <c r="BB846" s="29"/>
      <c r="BC846" s="29"/>
      <c r="BD846" s="29"/>
      <c r="BE846" s="29"/>
      <c r="BF846" s="29"/>
      <c r="BG846" s="29"/>
      <c r="BH846" s="29"/>
      <c r="BI846" s="29"/>
      <c r="BJ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c r="BI847" s="29"/>
      <c r="BJ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c r="AV848" s="29"/>
      <c r="AW848" s="29"/>
      <c r="AX848" s="29"/>
      <c r="AY848" s="29"/>
      <c r="AZ848" s="29"/>
      <c r="BA848" s="29"/>
      <c r="BB848" s="29"/>
      <c r="BC848" s="29"/>
      <c r="BD848" s="29"/>
      <c r="BE848" s="29"/>
      <c r="BF848" s="29"/>
      <c r="BG848" s="29"/>
      <c r="BH848" s="29"/>
      <c r="BI848" s="29"/>
      <c r="BJ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c r="BI849" s="29"/>
      <c r="BJ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c r="AV850" s="29"/>
      <c r="AW850" s="29"/>
      <c r="AX850" s="29"/>
      <c r="AY850" s="29"/>
      <c r="AZ850" s="29"/>
      <c r="BA850" s="29"/>
      <c r="BB850" s="29"/>
      <c r="BC850" s="29"/>
      <c r="BD850" s="29"/>
      <c r="BE850" s="29"/>
      <c r="BF850" s="29"/>
      <c r="BG850" s="29"/>
      <c r="BH850" s="29"/>
      <c r="BI850" s="29"/>
      <c r="BJ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c r="BI851" s="29"/>
      <c r="BJ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c r="AV852" s="29"/>
      <c r="AW852" s="29"/>
      <c r="AX852" s="29"/>
      <c r="AY852" s="29"/>
      <c r="AZ852" s="29"/>
      <c r="BA852" s="29"/>
      <c r="BB852" s="29"/>
      <c r="BC852" s="29"/>
      <c r="BD852" s="29"/>
      <c r="BE852" s="29"/>
      <c r="BF852" s="29"/>
      <c r="BG852" s="29"/>
      <c r="BH852" s="29"/>
      <c r="BI852" s="29"/>
      <c r="BJ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c r="BI853" s="29"/>
      <c r="BJ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c r="AV854" s="29"/>
      <c r="AW854" s="29"/>
      <c r="AX854" s="29"/>
      <c r="AY854" s="29"/>
      <c r="AZ854" s="29"/>
      <c r="BA854" s="29"/>
      <c r="BB854" s="29"/>
      <c r="BC854" s="29"/>
      <c r="BD854" s="29"/>
      <c r="BE854" s="29"/>
      <c r="BF854" s="29"/>
      <c r="BG854" s="29"/>
      <c r="BH854" s="29"/>
      <c r="BI854" s="29"/>
      <c r="BJ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c r="BI855" s="29"/>
      <c r="BJ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c r="AV856" s="29"/>
      <c r="AW856" s="29"/>
      <c r="AX856" s="29"/>
      <c r="AY856" s="29"/>
      <c r="AZ856" s="29"/>
      <c r="BA856" s="29"/>
      <c r="BB856" s="29"/>
      <c r="BC856" s="29"/>
      <c r="BD856" s="29"/>
      <c r="BE856" s="29"/>
      <c r="BF856" s="29"/>
      <c r="BG856" s="29"/>
      <c r="BH856" s="29"/>
      <c r="BI856" s="29"/>
      <c r="BJ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c r="BI857" s="29"/>
      <c r="BJ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c r="AV858" s="29"/>
      <c r="AW858" s="29"/>
      <c r="AX858" s="29"/>
      <c r="AY858" s="29"/>
      <c r="AZ858" s="29"/>
      <c r="BA858" s="29"/>
      <c r="BB858" s="29"/>
      <c r="BC858" s="29"/>
      <c r="BD858" s="29"/>
      <c r="BE858" s="29"/>
      <c r="BF858" s="29"/>
      <c r="BG858" s="29"/>
      <c r="BH858" s="29"/>
      <c r="BI858" s="29"/>
      <c r="BJ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c r="BI859" s="29"/>
      <c r="BJ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c r="AV860" s="29"/>
      <c r="AW860" s="29"/>
      <c r="AX860" s="29"/>
      <c r="AY860" s="29"/>
      <c r="AZ860" s="29"/>
      <c r="BA860" s="29"/>
      <c r="BB860" s="29"/>
      <c r="BC860" s="29"/>
      <c r="BD860" s="29"/>
      <c r="BE860" s="29"/>
      <c r="BF860" s="29"/>
      <c r="BG860" s="29"/>
      <c r="BH860" s="29"/>
      <c r="BI860" s="29"/>
      <c r="BJ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c r="BI861" s="29"/>
      <c r="BJ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c r="AV862" s="29"/>
      <c r="AW862" s="29"/>
      <c r="AX862" s="29"/>
      <c r="AY862" s="29"/>
      <c r="AZ862" s="29"/>
      <c r="BA862" s="29"/>
      <c r="BB862" s="29"/>
      <c r="BC862" s="29"/>
      <c r="BD862" s="29"/>
      <c r="BE862" s="29"/>
      <c r="BF862" s="29"/>
      <c r="BG862" s="29"/>
      <c r="BH862" s="29"/>
      <c r="BI862" s="29"/>
      <c r="BJ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c r="BI863" s="29"/>
      <c r="BJ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c r="AV864" s="29"/>
      <c r="AW864" s="29"/>
      <c r="AX864" s="29"/>
      <c r="AY864" s="29"/>
      <c r="AZ864" s="29"/>
      <c r="BA864" s="29"/>
      <c r="BB864" s="29"/>
      <c r="BC864" s="29"/>
      <c r="BD864" s="29"/>
      <c r="BE864" s="29"/>
      <c r="BF864" s="29"/>
      <c r="BG864" s="29"/>
      <c r="BH864" s="29"/>
      <c r="BI864" s="29"/>
      <c r="BJ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c r="BI865" s="29"/>
      <c r="BJ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c r="AV866" s="29"/>
      <c r="AW866" s="29"/>
      <c r="AX866" s="29"/>
      <c r="AY866" s="29"/>
      <c r="AZ866" s="29"/>
      <c r="BA866" s="29"/>
      <c r="BB866" s="29"/>
      <c r="BC866" s="29"/>
      <c r="BD866" s="29"/>
      <c r="BE866" s="29"/>
      <c r="BF866" s="29"/>
      <c r="BG866" s="29"/>
      <c r="BH866" s="29"/>
      <c r="BI866" s="29"/>
      <c r="BJ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c r="BI867" s="29"/>
      <c r="BJ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c r="AX868" s="29"/>
      <c r="AY868" s="29"/>
      <c r="AZ868" s="29"/>
      <c r="BA868" s="29"/>
      <c r="BB868" s="29"/>
      <c r="BC868" s="29"/>
      <c r="BD868" s="29"/>
      <c r="BE868" s="29"/>
      <c r="BF868" s="29"/>
      <c r="BG868" s="29"/>
      <c r="BH868" s="29"/>
      <c r="BI868" s="29"/>
      <c r="BJ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c r="AX870" s="29"/>
      <c r="AY870" s="29"/>
      <c r="AZ870" s="29"/>
      <c r="BA870" s="29"/>
      <c r="BB870" s="29"/>
      <c r="BC870" s="29"/>
      <c r="BD870" s="29"/>
      <c r="BE870" s="29"/>
      <c r="BF870" s="29"/>
      <c r="BG870" s="29"/>
      <c r="BH870" s="29"/>
      <c r="BI870" s="29"/>
      <c r="BJ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c r="AX872" s="29"/>
      <c r="AY872" s="29"/>
      <c r="AZ872" s="29"/>
      <c r="BA872" s="29"/>
      <c r="BB872" s="29"/>
      <c r="BC872" s="29"/>
      <c r="BD872" s="29"/>
      <c r="BE872" s="29"/>
      <c r="BF872" s="29"/>
      <c r="BG872" s="29"/>
      <c r="BH872" s="29"/>
      <c r="BI872" s="29"/>
      <c r="BJ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c r="AX874" s="29"/>
      <c r="AY874" s="29"/>
      <c r="AZ874" s="29"/>
      <c r="BA874" s="29"/>
      <c r="BB874" s="29"/>
      <c r="BC874" s="29"/>
      <c r="BD874" s="29"/>
      <c r="BE874" s="29"/>
      <c r="BF874" s="29"/>
      <c r="BG874" s="29"/>
      <c r="BH874" s="29"/>
      <c r="BI874" s="29"/>
      <c r="BJ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c r="AV876" s="29"/>
      <c r="AW876" s="29"/>
      <c r="AX876" s="29"/>
      <c r="AY876" s="29"/>
      <c r="AZ876" s="29"/>
      <c r="BA876" s="29"/>
      <c r="BB876" s="29"/>
      <c r="BC876" s="29"/>
      <c r="BD876" s="29"/>
      <c r="BE876" s="29"/>
      <c r="BF876" s="29"/>
      <c r="BG876" s="29"/>
      <c r="BH876" s="29"/>
      <c r="BI876" s="29"/>
      <c r="BJ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c r="AX878" s="29"/>
      <c r="AY878" s="29"/>
      <c r="AZ878" s="29"/>
      <c r="BA878" s="29"/>
      <c r="BB878" s="29"/>
      <c r="BC878" s="29"/>
      <c r="BD878" s="29"/>
      <c r="BE878" s="29"/>
      <c r="BF878" s="29"/>
      <c r="BG878" s="29"/>
      <c r="BH878" s="29"/>
      <c r="BI878" s="29"/>
      <c r="BJ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c r="AX880" s="29"/>
      <c r="AY880" s="29"/>
      <c r="AZ880" s="29"/>
      <c r="BA880" s="29"/>
      <c r="BB880" s="29"/>
      <c r="BC880" s="29"/>
      <c r="BD880" s="29"/>
      <c r="BE880" s="29"/>
      <c r="BF880" s="29"/>
      <c r="BG880" s="29"/>
      <c r="BH880" s="29"/>
      <c r="BI880" s="29"/>
      <c r="BJ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c r="AX884" s="29"/>
      <c r="AY884" s="29"/>
      <c r="AZ884" s="29"/>
      <c r="BA884" s="29"/>
      <c r="BB884" s="29"/>
      <c r="BC884" s="29"/>
      <c r="BD884" s="29"/>
      <c r="BE884" s="29"/>
      <c r="BF884" s="29"/>
      <c r="BG884" s="29"/>
      <c r="BH884" s="29"/>
      <c r="BI884" s="29"/>
      <c r="BJ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c r="AV886" s="29"/>
      <c r="AW886" s="29"/>
      <c r="AX886" s="29"/>
      <c r="AY886" s="29"/>
      <c r="AZ886" s="29"/>
      <c r="BA886" s="29"/>
      <c r="BB886" s="29"/>
      <c r="BC886" s="29"/>
      <c r="BD886" s="29"/>
      <c r="BE886" s="29"/>
      <c r="BF886" s="29"/>
      <c r="BG886" s="29"/>
      <c r="BH886" s="29"/>
      <c r="BI886" s="29"/>
      <c r="BJ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c r="BI887" s="29"/>
      <c r="BJ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c r="BI888" s="29"/>
      <c r="BJ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c r="AV890" s="29"/>
      <c r="AW890" s="29"/>
      <c r="AX890" s="29"/>
      <c r="AY890" s="29"/>
      <c r="AZ890" s="29"/>
      <c r="BA890" s="29"/>
      <c r="BB890" s="29"/>
      <c r="BC890" s="29"/>
      <c r="BD890" s="29"/>
      <c r="BE890" s="29"/>
      <c r="BF890" s="29"/>
      <c r="BG890" s="29"/>
      <c r="BH890" s="29"/>
      <c r="BI890" s="29"/>
      <c r="BJ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c r="BI891" s="29"/>
      <c r="BJ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c r="AV892" s="29"/>
      <c r="AW892" s="29"/>
      <c r="AX892" s="29"/>
      <c r="AY892" s="29"/>
      <c r="AZ892" s="29"/>
      <c r="BA892" s="29"/>
      <c r="BB892" s="29"/>
      <c r="BC892" s="29"/>
      <c r="BD892" s="29"/>
      <c r="BE892" s="29"/>
      <c r="BF892" s="29"/>
      <c r="BG892" s="29"/>
      <c r="BH892" s="29"/>
      <c r="BI892" s="29"/>
      <c r="BJ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c r="BI893" s="29"/>
      <c r="BJ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c r="AV894" s="29"/>
      <c r="AW894" s="29"/>
      <c r="AX894" s="29"/>
      <c r="AY894" s="29"/>
      <c r="AZ894" s="29"/>
      <c r="BA894" s="29"/>
      <c r="BB894" s="29"/>
      <c r="BC894" s="29"/>
      <c r="BD894" s="29"/>
      <c r="BE894" s="29"/>
      <c r="BF894" s="29"/>
      <c r="BG894" s="29"/>
      <c r="BH894" s="29"/>
      <c r="BI894" s="29"/>
      <c r="BJ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c r="BI895" s="29"/>
      <c r="BJ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c r="AV896" s="29"/>
      <c r="AW896" s="29"/>
      <c r="AX896" s="29"/>
      <c r="AY896" s="29"/>
      <c r="AZ896" s="29"/>
      <c r="BA896" s="29"/>
      <c r="BB896" s="29"/>
      <c r="BC896" s="29"/>
      <c r="BD896" s="29"/>
      <c r="BE896" s="29"/>
      <c r="BF896" s="29"/>
      <c r="BG896" s="29"/>
      <c r="BH896" s="29"/>
      <c r="BI896" s="29"/>
      <c r="BJ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c r="BI897" s="29"/>
      <c r="BJ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c r="AV898" s="29"/>
      <c r="AW898" s="29"/>
      <c r="AX898" s="29"/>
      <c r="AY898" s="29"/>
      <c r="AZ898" s="29"/>
      <c r="BA898" s="29"/>
      <c r="BB898" s="29"/>
      <c r="BC898" s="29"/>
      <c r="BD898" s="29"/>
      <c r="BE898" s="29"/>
      <c r="BF898" s="29"/>
      <c r="BG898" s="29"/>
      <c r="BH898" s="29"/>
      <c r="BI898" s="29"/>
      <c r="BJ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c r="BI899" s="29"/>
      <c r="BJ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c r="AV900" s="29"/>
      <c r="AW900" s="29"/>
      <c r="AX900" s="29"/>
      <c r="AY900" s="29"/>
      <c r="AZ900" s="29"/>
      <c r="BA900" s="29"/>
      <c r="BB900" s="29"/>
      <c r="BC900" s="29"/>
      <c r="BD900" s="29"/>
      <c r="BE900" s="29"/>
      <c r="BF900" s="29"/>
      <c r="BG900" s="29"/>
      <c r="BH900" s="29"/>
      <c r="BI900" s="29"/>
      <c r="BJ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c r="AV902" s="29"/>
      <c r="AW902" s="29"/>
      <c r="AX902" s="29"/>
      <c r="AY902" s="29"/>
      <c r="AZ902" s="29"/>
      <c r="BA902" s="29"/>
      <c r="BB902" s="29"/>
      <c r="BC902" s="29"/>
      <c r="BD902" s="29"/>
      <c r="BE902" s="29"/>
      <c r="BF902" s="29"/>
      <c r="BG902" s="29"/>
      <c r="BH902" s="29"/>
      <c r="BI902" s="29"/>
      <c r="BJ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c r="AV904" s="29"/>
      <c r="AW904" s="29"/>
      <c r="AX904" s="29"/>
      <c r="AY904" s="29"/>
      <c r="AZ904" s="29"/>
      <c r="BA904" s="29"/>
      <c r="BB904" s="29"/>
      <c r="BC904" s="29"/>
      <c r="BD904" s="29"/>
      <c r="BE904" s="29"/>
      <c r="BF904" s="29"/>
      <c r="BG904" s="29"/>
      <c r="BH904" s="29"/>
      <c r="BI904" s="29"/>
      <c r="BJ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c r="AV906" s="29"/>
      <c r="AW906" s="29"/>
      <c r="AX906" s="29"/>
      <c r="AY906" s="29"/>
      <c r="AZ906" s="29"/>
      <c r="BA906" s="29"/>
      <c r="BB906" s="29"/>
      <c r="BC906" s="29"/>
      <c r="BD906" s="29"/>
      <c r="BE906" s="29"/>
      <c r="BF906" s="29"/>
      <c r="BG906" s="29"/>
      <c r="BH906" s="29"/>
      <c r="BI906" s="29"/>
      <c r="BJ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c r="AV908" s="29"/>
      <c r="AW908" s="29"/>
      <c r="AX908" s="29"/>
      <c r="AY908" s="29"/>
      <c r="AZ908" s="29"/>
      <c r="BA908" s="29"/>
      <c r="BB908" s="29"/>
      <c r="BC908" s="29"/>
      <c r="BD908" s="29"/>
      <c r="BE908" s="29"/>
      <c r="BF908" s="29"/>
      <c r="BG908" s="29"/>
      <c r="BH908" s="29"/>
      <c r="BI908" s="29"/>
      <c r="BJ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c r="AV910" s="29"/>
      <c r="AW910" s="29"/>
      <c r="AX910" s="29"/>
      <c r="AY910" s="29"/>
      <c r="AZ910" s="29"/>
      <c r="BA910" s="29"/>
      <c r="BB910" s="29"/>
      <c r="BC910" s="29"/>
      <c r="BD910" s="29"/>
      <c r="BE910" s="29"/>
      <c r="BF910" s="29"/>
      <c r="BG910" s="29"/>
      <c r="BH910" s="29"/>
      <c r="BI910" s="29"/>
      <c r="BJ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c r="AV912" s="29"/>
      <c r="AW912" s="29"/>
      <c r="AX912" s="29"/>
      <c r="AY912" s="29"/>
      <c r="AZ912" s="29"/>
      <c r="BA912" s="29"/>
      <c r="BB912" s="29"/>
      <c r="BC912" s="29"/>
      <c r="BD912" s="29"/>
      <c r="BE912" s="29"/>
      <c r="BF912" s="29"/>
      <c r="BG912" s="29"/>
      <c r="BH912" s="29"/>
      <c r="BI912" s="29"/>
      <c r="BJ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c r="AV914" s="29"/>
      <c r="AW914" s="29"/>
      <c r="AX914" s="29"/>
      <c r="AY914" s="29"/>
      <c r="AZ914" s="29"/>
      <c r="BA914" s="29"/>
      <c r="BB914" s="29"/>
      <c r="BC914" s="29"/>
      <c r="BD914" s="29"/>
      <c r="BE914" s="29"/>
      <c r="BF914" s="29"/>
      <c r="BG914" s="29"/>
      <c r="BH914" s="29"/>
      <c r="BI914" s="29"/>
      <c r="BJ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c r="BI915" s="29"/>
      <c r="BJ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c r="AV916" s="29"/>
      <c r="AW916" s="29"/>
      <c r="AX916" s="29"/>
      <c r="AY916" s="29"/>
      <c r="AZ916" s="29"/>
      <c r="BA916" s="29"/>
      <c r="BB916" s="29"/>
      <c r="BC916" s="29"/>
      <c r="BD916" s="29"/>
      <c r="BE916" s="29"/>
      <c r="BF916" s="29"/>
      <c r="BG916" s="29"/>
      <c r="BH916" s="29"/>
      <c r="BI916" s="29"/>
      <c r="BJ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c r="BI917" s="29"/>
      <c r="BJ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29"/>
      <c r="AW918" s="29"/>
      <c r="AX918" s="29"/>
      <c r="AY918" s="29"/>
      <c r="AZ918" s="29"/>
      <c r="BA918" s="29"/>
      <c r="BB918" s="29"/>
      <c r="BC918" s="29"/>
      <c r="BD918" s="29"/>
      <c r="BE918" s="29"/>
      <c r="BF918" s="29"/>
      <c r="BG918" s="29"/>
      <c r="BH918" s="29"/>
      <c r="BI918" s="29"/>
      <c r="BJ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29"/>
      <c r="AW920" s="29"/>
      <c r="AX920" s="29"/>
      <c r="AY920" s="29"/>
      <c r="AZ920" s="29"/>
      <c r="BA920" s="29"/>
      <c r="BB920" s="29"/>
      <c r="BC920" s="29"/>
      <c r="BD920" s="29"/>
      <c r="BE920" s="29"/>
      <c r="BF920" s="29"/>
      <c r="BG920" s="29"/>
      <c r="BH920" s="29"/>
      <c r="BI920" s="29"/>
      <c r="BJ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c r="AV922" s="29"/>
      <c r="AW922" s="29"/>
      <c r="AX922" s="29"/>
      <c r="AY922" s="29"/>
      <c r="AZ922" s="29"/>
      <c r="BA922" s="29"/>
      <c r="BB922" s="29"/>
      <c r="BC922" s="29"/>
      <c r="BD922" s="29"/>
      <c r="BE922" s="29"/>
      <c r="BF922" s="29"/>
      <c r="BG922" s="29"/>
      <c r="BH922" s="29"/>
      <c r="BI922" s="29"/>
      <c r="BJ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c r="AV924" s="29"/>
      <c r="AW924" s="29"/>
      <c r="AX924" s="29"/>
      <c r="AY924" s="29"/>
      <c r="AZ924" s="29"/>
      <c r="BA924" s="29"/>
      <c r="BB924" s="29"/>
      <c r="BC924" s="29"/>
      <c r="BD924" s="29"/>
      <c r="BE924" s="29"/>
      <c r="BF924" s="29"/>
      <c r="BG924" s="29"/>
      <c r="BH924" s="29"/>
      <c r="BI924" s="29"/>
      <c r="BJ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c r="BI925" s="29"/>
      <c r="BJ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c r="AV926" s="29"/>
      <c r="AW926" s="29"/>
      <c r="AX926" s="29"/>
      <c r="AY926" s="29"/>
      <c r="AZ926" s="29"/>
      <c r="BA926" s="29"/>
      <c r="BB926" s="29"/>
      <c r="BC926" s="29"/>
      <c r="BD926" s="29"/>
      <c r="BE926" s="29"/>
      <c r="BF926" s="29"/>
      <c r="BG926" s="29"/>
      <c r="BH926" s="29"/>
      <c r="BI926" s="29"/>
      <c r="BJ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c r="BI927" s="29"/>
      <c r="BJ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c r="AV928" s="29"/>
      <c r="AW928" s="29"/>
      <c r="AX928" s="29"/>
      <c r="AY928" s="29"/>
      <c r="AZ928" s="29"/>
      <c r="BA928" s="29"/>
      <c r="BB928" s="29"/>
      <c r="BC928" s="29"/>
      <c r="BD928" s="29"/>
      <c r="BE928" s="29"/>
      <c r="BF928" s="29"/>
      <c r="BG928" s="29"/>
      <c r="BH928" s="29"/>
      <c r="BI928" s="29"/>
      <c r="BJ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c r="AV930" s="29"/>
      <c r="AW930" s="29"/>
      <c r="AX930" s="29"/>
      <c r="AY930" s="29"/>
      <c r="AZ930" s="29"/>
      <c r="BA930" s="29"/>
      <c r="BB930" s="29"/>
      <c r="BC930" s="29"/>
      <c r="BD930" s="29"/>
      <c r="BE930" s="29"/>
      <c r="BF930" s="29"/>
      <c r="BG930" s="29"/>
      <c r="BH930" s="29"/>
      <c r="BI930" s="29"/>
      <c r="BJ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c r="AV932" s="29"/>
      <c r="AW932" s="29"/>
      <c r="AX932" s="29"/>
      <c r="AY932" s="29"/>
      <c r="AZ932" s="29"/>
      <c r="BA932" s="29"/>
      <c r="BB932" s="29"/>
      <c r="BC932" s="29"/>
      <c r="BD932" s="29"/>
      <c r="BE932" s="29"/>
      <c r="BF932" s="29"/>
      <c r="BG932" s="29"/>
      <c r="BH932" s="29"/>
      <c r="BI932" s="29"/>
      <c r="BJ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c r="AV934" s="29"/>
      <c r="AW934" s="29"/>
      <c r="AX934" s="29"/>
      <c r="AY934" s="29"/>
      <c r="AZ934" s="29"/>
      <c r="BA934" s="29"/>
      <c r="BB934" s="29"/>
      <c r="BC934" s="29"/>
      <c r="BD934" s="29"/>
      <c r="BE934" s="29"/>
      <c r="BF934" s="29"/>
      <c r="BG934" s="29"/>
      <c r="BH934" s="29"/>
      <c r="BI934" s="29"/>
      <c r="BJ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c r="AV936" s="29"/>
      <c r="AW936" s="29"/>
      <c r="AX936" s="29"/>
      <c r="AY936" s="29"/>
      <c r="AZ936" s="29"/>
      <c r="BA936" s="29"/>
      <c r="BB936" s="29"/>
      <c r="BC936" s="29"/>
      <c r="BD936" s="29"/>
      <c r="BE936" s="29"/>
      <c r="BF936" s="29"/>
      <c r="BG936" s="29"/>
      <c r="BH936" s="29"/>
      <c r="BI936" s="29"/>
      <c r="BJ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29"/>
      <c r="AW938" s="29"/>
      <c r="AX938" s="29"/>
      <c r="AY938" s="29"/>
      <c r="AZ938" s="29"/>
      <c r="BA938" s="29"/>
      <c r="BB938" s="29"/>
      <c r="BC938" s="29"/>
      <c r="BD938" s="29"/>
      <c r="BE938" s="29"/>
      <c r="BF938" s="29"/>
      <c r="BG938" s="29"/>
      <c r="BH938" s="29"/>
      <c r="BI938" s="29"/>
      <c r="BJ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c r="BI939" s="29"/>
      <c r="BJ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29"/>
      <c r="AW940" s="29"/>
      <c r="AX940" s="29"/>
      <c r="AY940" s="29"/>
      <c r="AZ940" s="29"/>
      <c r="BA940" s="29"/>
      <c r="BB940" s="29"/>
      <c r="BC940" s="29"/>
      <c r="BD940" s="29"/>
      <c r="BE940" s="29"/>
      <c r="BF940" s="29"/>
      <c r="BG940" s="29"/>
      <c r="BH940" s="29"/>
      <c r="BI940" s="29"/>
      <c r="BJ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c r="BF941" s="29"/>
      <c r="BG941" s="29"/>
      <c r="BH941" s="29"/>
      <c r="BI941" s="29"/>
      <c r="BJ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29"/>
      <c r="AW942" s="29"/>
      <c r="AX942" s="29"/>
      <c r="AY942" s="29"/>
      <c r="AZ942" s="29"/>
      <c r="BA942" s="29"/>
      <c r="BB942" s="29"/>
      <c r="BC942" s="29"/>
      <c r="BD942" s="29"/>
      <c r="BE942" s="29"/>
      <c r="BF942" s="29"/>
      <c r="BG942" s="29"/>
      <c r="BH942" s="29"/>
      <c r="BI942" s="29"/>
      <c r="BJ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c r="BF943" s="29"/>
      <c r="BG943" s="29"/>
      <c r="BH943" s="29"/>
      <c r="BI943" s="29"/>
      <c r="BJ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29"/>
      <c r="AY944" s="29"/>
      <c r="AZ944" s="29"/>
      <c r="BA944" s="29"/>
      <c r="BB944" s="29"/>
      <c r="BC944" s="29"/>
      <c r="BD944" s="29"/>
      <c r="BE944" s="29"/>
      <c r="BF944" s="29"/>
      <c r="BG944" s="29"/>
      <c r="BH944" s="29"/>
      <c r="BI944" s="29"/>
      <c r="BJ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c r="BF945" s="29"/>
      <c r="BG945" s="29"/>
      <c r="BH945" s="29"/>
      <c r="BI945" s="29"/>
      <c r="BJ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29"/>
      <c r="AW946" s="29"/>
      <c r="AX946" s="29"/>
      <c r="AY946" s="29"/>
      <c r="AZ946" s="29"/>
      <c r="BA946" s="29"/>
      <c r="BB946" s="29"/>
      <c r="BC946" s="29"/>
      <c r="BD946" s="29"/>
      <c r="BE946" s="29"/>
      <c r="BF946" s="29"/>
      <c r="BG946" s="29"/>
      <c r="BH946" s="29"/>
      <c r="BI946" s="29"/>
      <c r="BJ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c r="BF947" s="29"/>
      <c r="BG947" s="29"/>
      <c r="BH947" s="29"/>
      <c r="BI947" s="29"/>
      <c r="BJ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29"/>
      <c r="AW948" s="29"/>
      <c r="AX948" s="29"/>
      <c r="AY948" s="29"/>
      <c r="AZ948" s="29"/>
      <c r="BA948" s="29"/>
      <c r="BB948" s="29"/>
      <c r="BC948" s="29"/>
      <c r="BD948" s="29"/>
      <c r="BE948" s="29"/>
      <c r="BF948" s="29"/>
      <c r="BG948" s="29"/>
      <c r="BH948" s="29"/>
      <c r="BI948" s="29"/>
      <c r="BJ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c r="BF949" s="29"/>
      <c r="BG949" s="29"/>
      <c r="BH949" s="29"/>
      <c r="BI949" s="29"/>
      <c r="BJ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c r="AV950" s="29"/>
      <c r="AW950" s="29"/>
      <c r="AX950" s="29"/>
      <c r="AY950" s="29"/>
      <c r="AZ950" s="29"/>
      <c r="BA950" s="29"/>
      <c r="BB950" s="29"/>
      <c r="BC950" s="29"/>
      <c r="BD950" s="29"/>
      <c r="BE950" s="29"/>
      <c r="BF950" s="29"/>
      <c r="BG950" s="29"/>
      <c r="BH950" s="29"/>
      <c r="BI950" s="29"/>
      <c r="BJ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c r="BF951" s="29"/>
      <c r="BG951" s="29"/>
      <c r="BH951" s="29"/>
      <c r="BI951" s="29"/>
      <c r="BJ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29"/>
      <c r="AW952" s="29"/>
      <c r="AX952" s="29"/>
      <c r="AY952" s="29"/>
      <c r="AZ952" s="29"/>
      <c r="BA952" s="29"/>
      <c r="BB952" s="29"/>
      <c r="BC952" s="29"/>
      <c r="BD952" s="29"/>
      <c r="BE952" s="29"/>
      <c r="BF952" s="29"/>
      <c r="BG952" s="29"/>
      <c r="BH952" s="29"/>
      <c r="BI952" s="29"/>
      <c r="BJ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c r="BI953" s="29"/>
      <c r="BJ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29"/>
      <c r="AW954" s="29"/>
      <c r="AX954" s="29"/>
      <c r="AY954" s="29"/>
      <c r="AZ954" s="29"/>
      <c r="BA954" s="29"/>
      <c r="BB954" s="29"/>
      <c r="BC954" s="29"/>
      <c r="BD954" s="29"/>
      <c r="BE954" s="29"/>
      <c r="BF954" s="29"/>
      <c r="BG954" s="29"/>
      <c r="BH954" s="29"/>
      <c r="BI954" s="29"/>
      <c r="BJ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c r="BI955" s="29"/>
      <c r="BJ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c r="AV956" s="29"/>
      <c r="AW956" s="29"/>
      <c r="AX956" s="29"/>
      <c r="AY956" s="29"/>
      <c r="AZ956" s="29"/>
      <c r="BA956" s="29"/>
      <c r="BB956" s="29"/>
      <c r="BC956" s="29"/>
      <c r="BD956" s="29"/>
      <c r="BE956" s="29"/>
      <c r="BF956" s="29"/>
      <c r="BG956" s="29"/>
      <c r="BH956" s="29"/>
      <c r="BI956" s="29"/>
      <c r="BJ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c r="BI957" s="29"/>
      <c r="BJ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29"/>
      <c r="AW958" s="29"/>
      <c r="AX958" s="29"/>
      <c r="AY958" s="29"/>
      <c r="AZ958" s="29"/>
      <c r="BA958" s="29"/>
      <c r="BB958" s="29"/>
      <c r="BC958" s="29"/>
      <c r="BD958" s="29"/>
      <c r="BE958" s="29"/>
      <c r="BF958" s="29"/>
      <c r="BG958" s="29"/>
      <c r="BH958" s="29"/>
      <c r="BI958" s="29"/>
      <c r="BJ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c r="BI959" s="29"/>
      <c r="BJ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29"/>
      <c r="AW960" s="29"/>
      <c r="AX960" s="29"/>
      <c r="AY960" s="29"/>
      <c r="AZ960" s="29"/>
      <c r="BA960" s="29"/>
      <c r="BB960" s="29"/>
      <c r="BC960" s="29"/>
      <c r="BD960" s="29"/>
      <c r="BE960" s="29"/>
      <c r="BF960" s="29"/>
      <c r="BG960" s="29"/>
      <c r="BH960" s="29"/>
      <c r="BI960" s="29"/>
      <c r="BJ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c r="BF961" s="29"/>
      <c r="BG961" s="29"/>
      <c r="BH961" s="29"/>
      <c r="BI961" s="29"/>
      <c r="BJ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29"/>
      <c r="AW962" s="29"/>
      <c r="AX962" s="29"/>
      <c r="AY962" s="29"/>
      <c r="AZ962" s="29"/>
      <c r="BA962" s="29"/>
      <c r="BB962" s="29"/>
      <c r="BC962" s="29"/>
      <c r="BD962" s="29"/>
      <c r="BE962" s="29"/>
      <c r="BF962" s="29"/>
      <c r="BG962" s="29"/>
      <c r="BH962" s="29"/>
      <c r="BI962" s="29"/>
      <c r="BJ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c r="BF963" s="29"/>
      <c r="BG963" s="29"/>
      <c r="BH963" s="29"/>
      <c r="BI963" s="29"/>
      <c r="BJ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29"/>
      <c r="AW964" s="29"/>
      <c r="AX964" s="29"/>
      <c r="AY964" s="29"/>
      <c r="AZ964" s="29"/>
      <c r="BA964" s="29"/>
      <c r="BB964" s="29"/>
      <c r="BC964" s="29"/>
      <c r="BD964" s="29"/>
      <c r="BE964" s="29"/>
      <c r="BF964" s="29"/>
      <c r="BG964" s="29"/>
      <c r="BH964" s="29"/>
      <c r="BI964" s="29"/>
      <c r="BJ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c r="BF965" s="29"/>
      <c r="BG965" s="29"/>
      <c r="BH965" s="29"/>
      <c r="BI965" s="29"/>
      <c r="BJ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c r="AV966" s="29"/>
      <c r="AW966" s="29"/>
      <c r="AX966" s="29"/>
      <c r="AY966" s="29"/>
      <c r="AZ966" s="29"/>
      <c r="BA966" s="29"/>
      <c r="BB966" s="29"/>
      <c r="BC966" s="29"/>
      <c r="BD966" s="29"/>
      <c r="BE966" s="29"/>
      <c r="BF966" s="29"/>
      <c r="BG966" s="29"/>
      <c r="BH966" s="29"/>
      <c r="BI966" s="29"/>
      <c r="BJ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c r="BF967" s="29"/>
      <c r="BG967" s="29"/>
      <c r="BH967" s="29"/>
      <c r="BI967" s="29"/>
      <c r="BJ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c r="AV968" s="29"/>
      <c r="AW968" s="29"/>
      <c r="AX968" s="29"/>
      <c r="AY968" s="29"/>
      <c r="AZ968" s="29"/>
      <c r="BA968" s="29"/>
      <c r="BB968" s="29"/>
      <c r="BC968" s="29"/>
      <c r="BD968" s="29"/>
      <c r="BE968" s="29"/>
      <c r="BF968" s="29"/>
      <c r="BG968" s="29"/>
      <c r="BH968" s="29"/>
      <c r="BI968" s="29"/>
      <c r="BJ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c r="BF969" s="29"/>
      <c r="BG969" s="29"/>
      <c r="BH969" s="29"/>
      <c r="BI969" s="29"/>
      <c r="BJ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c r="AV970" s="29"/>
      <c r="AW970" s="29"/>
      <c r="AX970" s="29"/>
      <c r="AY970" s="29"/>
      <c r="AZ970" s="29"/>
      <c r="BA970" s="29"/>
      <c r="BB970" s="29"/>
      <c r="BC970" s="29"/>
      <c r="BD970" s="29"/>
      <c r="BE970" s="29"/>
      <c r="BF970" s="29"/>
      <c r="BG970" s="29"/>
      <c r="BH970" s="29"/>
      <c r="BI970" s="29"/>
      <c r="BJ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c r="BF971" s="29"/>
      <c r="BG971" s="29"/>
      <c r="BH971" s="29"/>
      <c r="BI971" s="29"/>
      <c r="BJ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c r="AV972" s="29"/>
      <c r="AW972" s="29"/>
      <c r="AX972" s="29"/>
      <c r="AY972" s="29"/>
      <c r="AZ972" s="29"/>
      <c r="BA972" s="29"/>
      <c r="BB972" s="29"/>
      <c r="BC972" s="29"/>
      <c r="BD972" s="29"/>
      <c r="BE972" s="29"/>
      <c r="BF972" s="29"/>
      <c r="BG972" s="29"/>
      <c r="BH972" s="29"/>
      <c r="BI972" s="29"/>
      <c r="BJ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c r="BF973" s="29"/>
      <c r="BG973" s="29"/>
      <c r="BH973" s="29"/>
      <c r="BI973" s="29"/>
      <c r="BJ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c r="AV974" s="29"/>
      <c r="AW974" s="29"/>
      <c r="AX974" s="29"/>
      <c r="AY974" s="29"/>
      <c r="AZ974" s="29"/>
      <c r="BA974" s="29"/>
      <c r="BB974" s="29"/>
      <c r="BC974" s="29"/>
      <c r="BD974" s="29"/>
      <c r="BE974" s="29"/>
      <c r="BF974" s="29"/>
      <c r="BG974" s="29"/>
      <c r="BH974" s="29"/>
      <c r="BI974" s="29"/>
      <c r="BJ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c r="BF975" s="29"/>
      <c r="BG975" s="29"/>
      <c r="BH975" s="29"/>
      <c r="BI975" s="29"/>
      <c r="BJ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c r="AX976" s="29"/>
      <c r="AY976" s="29"/>
      <c r="AZ976" s="29"/>
      <c r="BA976" s="29"/>
      <c r="BB976" s="29"/>
      <c r="BC976" s="29"/>
      <c r="BD976" s="29"/>
      <c r="BE976" s="29"/>
      <c r="BF976" s="29"/>
      <c r="BG976" s="29"/>
      <c r="BH976" s="29"/>
      <c r="BI976" s="29"/>
      <c r="BJ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c r="BI977" s="29"/>
      <c r="BJ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c r="AX978" s="29"/>
      <c r="AY978" s="29"/>
      <c r="AZ978" s="29"/>
      <c r="BA978" s="29"/>
      <c r="BB978" s="29"/>
      <c r="BC978" s="29"/>
      <c r="BD978" s="29"/>
      <c r="BE978" s="29"/>
      <c r="BF978" s="29"/>
      <c r="BG978" s="29"/>
      <c r="BH978" s="29"/>
      <c r="BI978" s="29"/>
      <c r="BJ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c r="BI979" s="29"/>
      <c r="BJ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c r="AX980" s="29"/>
      <c r="AY980" s="29"/>
      <c r="AZ980" s="29"/>
      <c r="BA980" s="29"/>
      <c r="BB980" s="29"/>
      <c r="BC980" s="29"/>
      <c r="BD980" s="29"/>
      <c r="BE980" s="29"/>
      <c r="BF980" s="29"/>
      <c r="BG980" s="29"/>
      <c r="BH980" s="29"/>
      <c r="BI980" s="29"/>
      <c r="BJ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c r="BI981" s="29"/>
      <c r="BJ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29"/>
      <c r="AW982" s="29"/>
      <c r="AX982" s="29"/>
      <c r="AY982" s="29"/>
      <c r="AZ982" s="29"/>
      <c r="BA982" s="29"/>
      <c r="BB982" s="29"/>
      <c r="BC982" s="29"/>
      <c r="BD982" s="29"/>
      <c r="BE982" s="29"/>
      <c r="BF982" s="29"/>
      <c r="BG982" s="29"/>
      <c r="BH982" s="29"/>
      <c r="BI982" s="29"/>
      <c r="BJ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c r="BI983" s="29"/>
      <c r="BJ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29"/>
      <c r="AW984" s="29"/>
      <c r="AX984" s="29"/>
      <c r="AY984" s="29"/>
      <c r="AZ984" s="29"/>
      <c r="BA984" s="29"/>
      <c r="BB984" s="29"/>
      <c r="BC984" s="29"/>
      <c r="BD984" s="29"/>
      <c r="BE984" s="29"/>
      <c r="BF984" s="29"/>
      <c r="BG984" s="29"/>
      <c r="BH984" s="29"/>
      <c r="BI984" s="29"/>
      <c r="BJ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c r="BI985" s="29"/>
      <c r="BJ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29"/>
      <c r="AW986" s="29"/>
      <c r="AX986" s="29"/>
      <c r="AY986" s="29"/>
      <c r="AZ986" s="29"/>
      <c r="BA986" s="29"/>
      <c r="BB986" s="29"/>
      <c r="BC986" s="29"/>
      <c r="BD986" s="29"/>
      <c r="BE986" s="29"/>
      <c r="BF986" s="29"/>
      <c r="BG986" s="29"/>
      <c r="BH986" s="29"/>
      <c r="BI986" s="29"/>
      <c r="BJ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c r="BI987" s="29"/>
      <c r="BJ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29"/>
      <c r="AW988" s="29"/>
      <c r="AX988" s="29"/>
      <c r="AY988" s="29"/>
      <c r="AZ988" s="29"/>
      <c r="BA988" s="29"/>
      <c r="BB988" s="29"/>
      <c r="BC988" s="29"/>
      <c r="BD988" s="29"/>
      <c r="BE988" s="29"/>
      <c r="BF988" s="29"/>
      <c r="BG988" s="29"/>
      <c r="BH988" s="29"/>
      <c r="BI988" s="29"/>
      <c r="BJ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c r="BI989" s="29"/>
      <c r="BJ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29"/>
      <c r="AW990" s="29"/>
      <c r="AX990" s="29"/>
      <c r="AY990" s="29"/>
      <c r="AZ990" s="29"/>
      <c r="BA990" s="29"/>
      <c r="BB990" s="29"/>
      <c r="BC990" s="29"/>
      <c r="BD990" s="29"/>
      <c r="BE990" s="29"/>
      <c r="BF990" s="29"/>
      <c r="BG990" s="29"/>
      <c r="BH990" s="29"/>
      <c r="BI990" s="29"/>
      <c r="BJ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c r="BI991" s="29"/>
      <c r="BJ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c r="AX992" s="29"/>
      <c r="AY992" s="29"/>
      <c r="AZ992" s="29"/>
      <c r="BA992" s="29"/>
      <c r="BB992" s="29"/>
      <c r="BC992" s="29"/>
      <c r="BD992" s="29"/>
      <c r="BE992" s="29"/>
      <c r="BF992" s="29"/>
      <c r="BG992" s="29"/>
      <c r="BH992" s="29"/>
      <c r="BI992" s="29"/>
      <c r="BJ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c r="AX994" s="29"/>
      <c r="AY994" s="29"/>
      <c r="AZ994" s="29"/>
      <c r="BA994" s="29"/>
      <c r="BB994" s="29"/>
      <c r="BC994" s="29"/>
      <c r="BD994" s="29"/>
      <c r="BE994" s="29"/>
      <c r="BF994" s="29"/>
      <c r="BG994" s="29"/>
      <c r="BH994" s="29"/>
      <c r="BI994" s="29"/>
      <c r="BJ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c r="AX996" s="29"/>
      <c r="AY996" s="29"/>
      <c r="AZ996" s="29"/>
      <c r="BA996" s="29"/>
      <c r="BB996" s="29"/>
      <c r="BC996" s="29"/>
      <c r="BD996" s="29"/>
      <c r="BE996" s="29"/>
      <c r="BF996" s="29"/>
      <c r="BG996" s="29"/>
      <c r="BH996" s="29"/>
      <c r="BI996" s="29"/>
      <c r="BJ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c r="AX998" s="29"/>
      <c r="AY998" s="29"/>
      <c r="AZ998" s="29"/>
      <c r="BA998" s="29"/>
      <c r="BB998" s="29"/>
      <c r="BC998" s="29"/>
      <c r="BD998" s="29"/>
      <c r="BE998" s="29"/>
      <c r="BF998" s="29"/>
      <c r="BG998" s="29"/>
      <c r="BH998" s="29"/>
      <c r="BI998" s="29"/>
      <c r="BJ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29"/>
      <c r="AW1000" s="29"/>
      <c r="AX1000" s="29"/>
      <c r="AY1000" s="29"/>
      <c r="AZ1000" s="29"/>
      <c r="BA1000" s="29"/>
      <c r="BB1000" s="29"/>
      <c r="BC1000" s="29"/>
      <c r="BD1000" s="29"/>
      <c r="BE1000" s="29"/>
      <c r="BF1000" s="29"/>
      <c r="BG1000" s="29"/>
      <c r="BH1000" s="29"/>
      <c r="BI1000" s="29"/>
      <c r="BJ1000" s="29"/>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2026-04-19T01:24:05Z</dcterms:created>
  <dc:creator>Andrea Patricia Diaz Baquero</dc:creator>
</cp:coreProperties>
</file>